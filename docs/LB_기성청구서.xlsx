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405" yWindow="105" windowWidth="27975" windowHeight="12315"/>
  </bookViews>
  <sheets>
    <sheet name="제작 단가" sheetId="3" r:id="rId1"/>
    <sheet name="기성청구서" sheetId="1" r:id="rId2"/>
    <sheet name="추가상세내역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1_0공사" localSheetId="2">[1]Sheet1!#REF!</definedName>
    <definedName name="_1_0공사">[1]Sheet1!#REF!</definedName>
    <definedName name="_2_0구조" localSheetId="2">[1]Sheet1!#REF!</definedName>
    <definedName name="_2_0구조">[1]Sheet1!#REF!</definedName>
    <definedName name="_3_0도장" localSheetId="2">[1]Sheet1!#REF!</definedName>
    <definedName name="_3_0도장">[1]Sheet1!#REF!</definedName>
    <definedName name="_4_0수주" localSheetId="2">[1]Sheet1!#REF!</definedName>
    <definedName name="_4_0수주">[1]Sheet1!#REF!</definedName>
    <definedName name="_5_0의장" localSheetId="2">[1]Sheet1!#REF!</definedName>
    <definedName name="_5_0의장">[1]Sheet1!#REF!</definedName>
    <definedName name="_6_0자생" localSheetId="2">[1]Sheet1!#REF!</definedName>
    <definedName name="_6_0자생">[1]Sheet1!#REF!</definedName>
    <definedName name="_7_0자조" localSheetId="2">[1]Sheet1!#REF!</definedName>
    <definedName name="_7_0자조">[1]Sheet1!#REF!</definedName>
    <definedName name="_8_0철구" localSheetId="2">[1]Sheet1!#REF!</definedName>
    <definedName name="_8_0철구">[1]Sheet1!#REF!</definedName>
    <definedName name="_9_0해상" localSheetId="2">[1]Sheet1!#REF!</definedName>
    <definedName name="_9_0해상">[1]Sheet1!#REF!</definedName>
    <definedName name="_NEW4446" localSheetId="1">[2]편성절차!#REF!</definedName>
    <definedName name="_NEW4446">[2]편성절차!#REF!</definedName>
    <definedName name="\q" localSheetId="1">#REF!</definedName>
    <definedName name="\q">#REF!</definedName>
    <definedName name="③FITTINGFLANGE_추가_POR" localSheetId="2">'[3]공정회의자료(월요일 10시까지)'!#REF!</definedName>
    <definedName name="③FITTINGFLANGE_추가_POR">'[3]공정회의자료(월요일 10시까지)'!#REF!</definedName>
    <definedName name="A" localSheetId="1">#REF!</definedName>
    <definedName name="A" localSheetId="2">#REF!</definedName>
    <definedName name="A">#REF!</definedName>
    <definedName name="A_7" localSheetId="1">#REF!</definedName>
    <definedName name="A_7">#REF!</definedName>
    <definedName name="AAA" localSheetId="2">#REF!</definedName>
    <definedName name="AAA">#REF!</definedName>
    <definedName name="aaaa" localSheetId="2">[1]Sheet1!#REF!</definedName>
    <definedName name="aaaa">[1]Sheet1!#REF!</definedName>
    <definedName name="BLK_NO" localSheetId="1">#REF!</definedName>
    <definedName name="BLK_NO">#REF!</definedName>
    <definedName name="BLOCK" localSheetId="1">#REF!</definedName>
    <definedName name="BLOCK">#REF!</definedName>
    <definedName name="BNO" localSheetId="1">#REF!</definedName>
    <definedName name="BNO">#REF!</definedName>
    <definedName name="_xlnm.Database" localSheetId="1">#REF!</definedName>
    <definedName name="_xlnm.Database" localSheetId="2">#REF!</definedName>
    <definedName name="_xlnm.Database">#REF!</definedName>
    <definedName name="DATEFIND">[4]!DATEFIND</definedName>
    <definedName name="DOCK" localSheetId="1">#REF!</definedName>
    <definedName name="DOCK">#REF!</definedName>
    <definedName name="DS_3" localSheetId="1">#REF!</definedName>
    <definedName name="DS_3">#REF!</definedName>
    <definedName name="FPSO" localSheetId="1">#REF!</definedName>
    <definedName name="FPSO">#REF!</definedName>
    <definedName name="M_LIST" localSheetId="1">#REF!</definedName>
    <definedName name="M_LIST">#REF!</definedName>
    <definedName name="M1_LIST" localSheetId="1">#REF!</definedName>
    <definedName name="M1_LIST">#REF!</definedName>
    <definedName name="NPS" localSheetId="1">#REF!</definedName>
    <definedName name="NPS">#REF!</definedName>
    <definedName name="PBS" localSheetId="1">#REF!</definedName>
    <definedName name="PBS">#REF!</definedName>
    <definedName name="PE호선번호" localSheetId="1">#REF!</definedName>
    <definedName name="PE호선번호">#REF!</definedName>
    <definedName name="_xlnm.Print_Area" localSheetId="1">기성청구서!$A$1:$W$36</definedName>
    <definedName name="_xlnm.Print_Area" localSheetId="0">'제작 단가'!$A$1:$F$32</definedName>
    <definedName name="_xlnm.Print_Area">[2]편성절차!#REF!</definedName>
    <definedName name="PRINT_AREA_MI" localSheetId="1">[2]편성절차!#REF!</definedName>
    <definedName name="PRINT_AREA_MI">[2]편성절차!#REF!</definedName>
    <definedName name="sdf" localSheetId="2">[1]Sheet1!#REF!</definedName>
    <definedName name="sdf">[1]Sheet1!#REF!</definedName>
    <definedName name="거래명세서" localSheetId="2">[5]참조양식!$A$1:$J$5</definedName>
    <definedName name="거래명세서">[6]참조양식!$A$1:$J$5</definedName>
    <definedName name="결재">[7]양식!$Y$56:$AD$58</definedName>
    <definedName name="공사명" localSheetId="1">#REF!</definedName>
    <definedName name="공사명">#REF!</definedName>
    <definedName name="ㄷㄷㄷ" localSheetId="2">#REF!</definedName>
    <definedName name="ㄷㄷㄷ">#REF!</definedName>
    <definedName name="덕식" localSheetId="1">#REF!</definedName>
    <definedName name="덕식">#REF!</definedName>
    <definedName name="데이터" localSheetId="2">#REF!</definedName>
    <definedName name="데이터">#REF!</definedName>
    <definedName name="도면번호" localSheetId="1">#REF!</definedName>
    <definedName name="도면번호">#REF!</definedName>
    <definedName name="도장호선" localSheetId="1">#REF!</definedName>
    <definedName name="도장호선">#REF!</definedName>
    <definedName name="도장호선번호" localSheetId="1">#REF!</definedName>
    <definedName name="도장호선번호">#REF!</definedName>
    <definedName name="ㅁ" localSheetId="1">[2]편성절차!#REF!</definedName>
    <definedName name="ㅁ">[2]편성절차!#REF!</definedName>
    <definedName name="매수" localSheetId="1">#REF!</definedName>
    <definedName name="매수">#REF!</definedName>
    <definedName name="未착수_→긴급가공조치요." localSheetId="2">#REF!</definedName>
    <definedName name="未착수_→긴급가공조치요.">#REF!</definedName>
    <definedName name="ㅂㅂ" localSheetId="1">[2]편성절차!#REF!</definedName>
    <definedName name="ㅂㅂ">[2]편성절차!#REF!</definedName>
    <definedName name="배포1" localSheetId="1">#REF!</definedName>
    <definedName name="배포1">#REF!</definedName>
    <definedName name="배포10" localSheetId="1">#REF!</definedName>
    <definedName name="배포10">#REF!</definedName>
    <definedName name="배포11" localSheetId="1">#REF!</definedName>
    <definedName name="배포11">#REF!</definedName>
    <definedName name="배포12" localSheetId="1">#REF!</definedName>
    <definedName name="배포12">#REF!</definedName>
    <definedName name="배포2" localSheetId="1">#REF!</definedName>
    <definedName name="배포2">#REF!</definedName>
    <definedName name="배포3" localSheetId="1">#REF!</definedName>
    <definedName name="배포3">#REF!</definedName>
    <definedName name="배포4" localSheetId="1">#REF!</definedName>
    <definedName name="배포4">#REF!</definedName>
    <definedName name="배포5" localSheetId="1">#REF!</definedName>
    <definedName name="배포5">#REF!</definedName>
    <definedName name="배포8" localSheetId="1">#REF!</definedName>
    <definedName name="배포8">#REF!</definedName>
    <definedName name="배포9" localSheetId="1">#REF!</definedName>
    <definedName name="배포9">#REF!</definedName>
    <definedName name="새로" localSheetId="2">#REF!</definedName>
    <definedName name="새로">#REF!</definedName>
    <definedName name="선실과" localSheetId="1">#REF!</definedName>
    <definedName name="선실과">#REF!</definedName>
    <definedName name="소제목" localSheetId="1">#REF!</definedName>
    <definedName name="소제목">#REF!</definedName>
    <definedName name="승규" localSheetId="1">#REF!</definedName>
    <definedName name="승규">#REF!</definedName>
    <definedName name="신수" localSheetId="1">#REF!</definedName>
    <definedName name="신수">#REF!</definedName>
    <definedName name="실적" localSheetId="1">[2]편성절차!#REF!</definedName>
    <definedName name="실적">[2]편성절차!#REF!</definedName>
    <definedName name="예" localSheetId="1">[2]편성절차!#REF!</definedName>
    <definedName name="예">[2]편성절차!#REF!</definedName>
    <definedName name="의장제작" localSheetId="1">'[8]5직접'!#REF!</definedName>
    <definedName name="의장제작">'[8]5직접'!#REF!</definedName>
    <definedName name="작성일자" localSheetId="1">#REF!</definedName>
    <definedName name="작성일자">#REF!</definedName>
    <definedName name="작성자" localSheetId="1">#REF!</definedName>
    <definedName name="작성자">#REF!</definedName>
    <definedName name="조립1부실적" localSheetId="1">[9]조립1부실적!#REF!</definedName>
    <definedName name="조립1부실적">[9]조립1부실적!#REF!</definedName>
    <definedName name="참조" localSheetId="2">#REF!</definedName>
    <definedName name="참조">#REF!</definedName>
    <definedName name="참조4309" localSheetId="2">#REF!</definedName>
    <definedName name="참조4309">#REF!</definedName>
    <definedName name="참조4310">[10]데이터!$M:$O</definedName>
    <definedName name="참조4311">[11]데이터!$Q:$S</definedName>
    <definedName name="참조형산강">[12]데이터!$I:$K</definedName>
    <definedName name="척도" localSheetId="1">#REF!</definedName>
    <definedName name="척도">#REF!</definedName>
    <definedName name="팀명" localSheetId="1">#REF!</definedName>
    <definedName name="팀명">#REF!</definedName>
    <definedName name="한주" localSheetId="1">#REF!</definedName>
    <definedName name="한주">#REF!</definedName>
    <definedName name="협력1" localSheetId="1">#REF!</definedName>
    <definedName name="협력1">#REF!</definedName>
    <definedName name="협력2" localSheetId="1">#REF!</definedName>
    <definedName name="협력2">#REF!</definedName>
    <definedName name="협력3" localSheetId="1">#REF!</definedName>
    <definedName name="협력3">#REF!</definedName>
    <definedName name="협력4" localSheetId="1">#REF!</definedName>
    <definedName name="협력4">#REF!</definedName>
    <definedName name="협력회사" localSheetId="1">#REF!</definedName>
    <definedName name="협력회사">#REF!</definedName>
    <definedName name="협력회사1" localSheetId="1">#REF!</definedName>
    <definedName name="협력회사1">#REF!</definedName>
    <definedName name="협력회사2" localSheetId="1">#REF!</definedName>
    <definedName name="협력회사2">#REF!</definedName>
    <definedName name="협력회사3" localSheetId="1">#REF!</definedName>
    <definedName name="협력회사3">#REF!</definedName>
    <definedName name="협력회사4" localSheetId="1">#REF!</definedName>
    <definedName name="협력회사4">#REF!</definedName>
    <definedName name="호선번호" localSheetId="1">#REF!</definedName>
    <definedName name="호선번호">#REF!</definedName>
    <definedName name="홍선" localSheetId="1">#REF!</definedName>
    <definedName name="홍선">#REF!</definedName>
  </definedNames>
  <calcPr calcId="162913"/>
</workbook>
</file>

<file path=xl/calcChain.xml><?xml version="1.0" encoding="utf-8"?>
<calcChain xmlns="http://schemas.openxmlformats.org/spreadsheetml/2006/main">
  <c r="D32" i="3" l="1"/>
  <c r="F32" i="3" s="1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U16" i="1" l="1"/>
  <c r="R16" i="1"/>
  <c r="R15" i="1" l="1"/>
  <c r="U15" i="1" s="1"/>
  <c r="R14" i="1"/>
  <c r="U14" i="1" s="1"/>
  <c r="R13" i="1"/>
  <c r="U13" i="1" s="1"/>
  <c r="R12" i="1"/>
  <c r="U12" i="1" s="1"/>
  <c r="R11" i="1" l="1"/>
  <c r="U11" i="1" s="1"/>
  <c r="J31" i="1" l="1"/>
  <c r="R31" i="1" l="1"/>
  <c r="U31" i="1" s="1"/>
  <c r="P32" i="1" s="1"/>
  <c r="S9" i="1" s="1"/>
  <c r="E9" i="1" s="1"/>
</calcChain>
</file>

<file path=xl/sharedStrings.xml><?xml version="1.0" encoding="utf-8"?>
<sst xmlns="http://schemas.openxmlformats.org/spreadsheetml/2006/main" count="101" uniqueCount="83">
  <si>
    <t>일금</t>
    <phoneticPr fontId="6" type="noConversion"/>
  </si>
  <si>
    <t xml:space="preserve"> 합계
 금액</t>
    <phoneticPr fontId="6" type="noConversion"/>
  </si>
  <si>
    <t>종  목</t>
    <phoneticPr fontId="6" type="noConversion"/>
  </si>
  <si>
    <t>업   태</t>
    <phoneticPr fontId="6" type="noConversion"/>
  </si>
  <si>
    <t>소재지</t>
    <phoneticPr fontId="6" type="noConversion"/>
  </si>
  <si>
    <t>아래와 같이 계산합니다.</t>
    <phoneticPr fontId="6" type="noConversion"/>
  </si>
  <si>
    <t>사업장</t>
    <phoneticPr fontId="6" type="noConversion"/>
  </si>
  <si>
    <t>성
명</t>
    <phoneticPr fontId="6" type="noConversion"/>
  </si>
  <si>
    <t>상   호</t>
    <phoneticPr fontId="6" type="noConversion"/>
  </si>
  <si>
    <t>번   호</t>
    <phoneticPr fontId="6" type="noConversion"/>
  </si>
  <si>
    <t>등   록</t>
    <phoneticPr fontId="6" type="noConversion"/>
  </si>
  <si>
    <t>공
급
자</t>
    <phoneticPr fontId="6" type="noConversion"/>
  </si>
  <si>
    <t>호</t>
    <phoneticPr fontId="6" type="noConversion"/>
  </si>
  <si>
    <t>권</t>
    <phoneticPr fontId="6" type="noConversion"/>
  </si>
  <si>
    <t>월일</t>
    <phoneticPr fontId="6" type="noConversion"/>
  </si>
  <si>
    <t>품     목</t>
    <phoneticPr fontId="6" type="noConversion"/>
  </si>
  <si>
    <t>단  가</t>
    <phoneticPr fontId="6" type="noConversion"/>
  </si>
  <si>
    <t>공급가액 
(원)</t>
    <phoneticPr fontId="6" type="noConversion"/>
  </si>
  <si>
    <t>세   액
(원)</t>
    <phoneticPr fontId="6" type="noConversion"/>
  </si>
  <si>
    <t>원정  (</t>
    <phoneticPr fontId="6" type="noConversion"/>
  </si>
  <si>
    <t>)</t>
    <phoneticPr fontId="6" type="noConversion"/>
  </si>
  <si>
    <t>계</t>
    <phoneticPr fontId="6" type="noConversion"/>
  </si>
  <si>
    <t>전  잔  금</t>
    <phoneticPr fontId="6" type="noConversion"/>
  </si>
  <si>
    <t>합     계</t>
    <phoneticPr fontId="6" type="noConversion"/>
  </si>
  <si>
    <t>입 금</t>
    <phoneticPr fontId="6" type="noConversion"/>
  </si>
  <si>
    <t>잔 금</t>
    <phoneticPr fontId="6" type="noConversion"/>
  </si>
  <si>
    <t>인수자</t>
    <phoneticPr fontId="6" type="noConversion"/>
  </si>
  <si>
    <t>인</t>
    <phoneticPr fontId="6" type="noConversion"/>
  </si>
  <si>
    <t>608-81-35087</t>
    <phoneticPr fontId="6" type="noConversion"/>
  </si>
  <si>
    <t>제조업</t>
    <phoneticPr fontId="6" type="noConversion"/>
  </si>
  <si>
    <t>선박부품</t>
    <phoneticPr fontId="6" type="noConversion"/>
  </si>
  <si>
    <t>05     31</t>
    <phoneticPr fontId="6" type="noConversion"/>
  </si>
  <si>
    <t>중  량
(TON)</t>
  </si>
  <si>
    <t>수량</t>
    <phoneticPr fontId="6" type="noConversion"/>
  </si>
  <si>
    <t>우 영 진</t>
    <phoneticPr fontId="6" type="noConversion"/>
  </si>
  <si>
    <t xml:space="preserve">      (주) 삼정테크 귀하</t>
    <phoneticPr fontId="6" type="noConversion"/>
  </si>
  <si>
    <t>기 성 청 구 서(공급 받는 자)</t>
    <phoneticPr fontId="6" type="noConversion"/>
  </si>
  <si>
    <t>잔재작업</t>
    <phoneticPr fontId="45" type="noConversion"/>
  </si>
  <si>
    <t>5월 추가 절단 내역</t>
    <phoneticPr fontId="45" type="noConversion"/>
  </si>
  <si>
    <t>자재 및 도면정보</t>
    <phoneticPr fontId="50" type="noConversion"/>
  </si>
  <si>
    <t>호선
사용용도</t>
    <phoneticPr fontId="50" type="noConversion"/>
  </si>
  <si>
    <t>도면 번호</t>
    <phoneticPr fontId="50" type="noConversion"/>
  </si>
  <si>
    <t>재질</t>
    <phoneticPr fontId="50" type="noConversion"/>
  </si>
  <si>
    <t>사용자재 사이즈</t>
    <phoneticPr fontId="50" type="noConversion"/>
  </si>
  <si>
    <t>강재무게
(T)</t>
    <phoneticPr fontId="50" type="noConversion"/>
  </si>
  <si>
    <t>부재무게
(T)</t>
    <phoneticPr fontId="50" type="noConversion"/>
  </si>
  <si>
    <t>스크랩
(Kg)</t>
    <phoneticPr fontId="50" type="noConversion"/>
  </si>
  <si>
    <t>절단
길이</t>
    <phoneticPr fontId="50" type="noConversion"/>
  </si>
  <si>
    <t>마킹
길이</t>
    <phoneticPr fontId="50" type="noConversion"/>
  </si>
  <si>
    <t>두께
(mm)</t>
    <phoneticPr fontId="50" type="noConversion"/>
  </si>
  <si>
    <t>폭
(mm)</t>
    <phoneticPr fontId="50" type="noConversion"/>
  </si>
  <si>
    <t>길이
(mm)</t>
    <phoneticPr fontId="50" type="noConversion"/>
  </si>
  <si>
    <t>am050601</t>
  </si>
  <si>
    <t>A</t>
  </si>
  <si>
    <t>af050801</t>
  </si>
  <si>
    <t>AF051404</t>
  </si>
  <si>
    <t>fo051801</t>
  </si>
  <si>
    <t>an051801</t>
  </si>
  <si>
    <t>an051901</t>
  </si>
  <si>
    <t>cf052101</t>
  </si>
  <si>
    <t>cb052601</t>
  </si>
  <si>
    <t>AH36</t>
  </si>
  <si>
    <t>cb052602</t>
  </si>
  <si>
    <t>ak052601</t>
  </si>
  <si>
    <t>an052701</t>
  </si>
  <si>
    <t>af052701</t>
  </si>
  <si>
    <t>cb052901</t>
  </si>
  <si>
    <t>4506호선 B309 절단</t>
    <phoneticPr fontId="6" type="noConversion"/>
  </si>
  <si>
    <t>4506호선 B310 절단</t>
    <phoneticPr fontId="6" type="noConversion"/>
  </si>
  <si>
    <t>4506호선 B313 절단</t>
    <phoneticPr fontId="6" type="noConversion"/>
  </si>
  <si>
    <t>4506호선 B312 절단</t>
    <phoneticPr fontId="6" type="noConversion"/>
  </si>
  <si>
    <t>4506호선 B311 절단</t>
    <phoneticPr fontId="6" type="noConversion"/>
  </si>
  <si>
    <t>5월 추가절단</t>
    <phoneticPr fontId="6" type="noConversion"/>
  </si>
  <si>
    <t>비고</t>
    <phoneticPr fontId="6" type="noConversion"/>
  </si>
  <si>
    <t>경남 하동군 진교면 신안길 2-10</t>
    <phoneticPr fontId="6" type="noConversion"/>
  </si>
  <si>
    <t>한국테크 주식회사</t>
    <phoneticPr fontId="6" type="noConversion"/>
  </si>
  <si>
    <t>4506/4508/4510호선 절단 중량및 단가표(한국테크)</t>
    <phoneticPr fontId="52" type="noConversion"/>
  </si>
  <si>
    <t>블록</t>
    <phoneticPr fontId="45" type="noConversion"/>
  </si>
  <si>
    <t>NO</t>
    <phoneticPr fontId="45" type="noConversion"/>
  </si>
  <si>
    <t>Weight</t>
  </si>
  <si>
    <t>단가</t>
    <phoneticPr fontId="45" type="noConversion"/>
  </si>
  <si>
    <t>금액</t>
    <phoneticPr fontId="45" type="noConversion"/>
  </si>
  <si>
    <t>TOTAL</t>
    <phoneticPr fontId="4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</si>
</sst>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-* #,##0.0000_-;\-* #,##0.0000_-;_-* &quot;-&quot;????_-;_-@_-"/>
    <numFmt numFmtId="177" formatCode="_-* #,##0.000_-;\-* #,##0.000_-;_-* &quot;-&quot;_-;_-@_-"/>
    <numFmt numFmtId="178" formatCode="_(* #,##0_);_(* \(#,##0\);_(* &quot;-&quot;?_);_(@_)"/>
    <numFmt numFmtId="179" formatCode="[DBNum4][$-412]General"/>
    <numFmt numFmtId="180" formatCode="yyyy&quot;년&quot;&quot; &quot;m&quot;월&quot;&quot; &quot;d&quot;일&quot;;@"/>
    <numFmt numFmtId="181" formatCode="_ &quot;₩&quot;* #,##0_ ;_ &quot;₩&quot;* &quot;₩&quot;&quot;₩&quot;\-#,##0_ ;_ &quot;₩&quot;* &quot;-&quot;_ ;_ @_ "/>
    <numFmt numFmtId="182" formatCode="_ &quot;₩&quot;* #,##0.00_ ;_ &quot;₩&quot;* &quot;₩&quot;&quot;₩&quot;\-#,##0.00_ ;_ &quot;₩&quot;* &quot;-&quot;??_ ;_ @_ "/>
    <numFmt numFmtId="183" formatCode="_ * #,##0_ ;_ * &quot;₩&quot;&quot;₩&quot;\-#,##0_ ;_ * &quot;-&quot;_ ;_ @_ "/>
    <numFmt numFmtId="184" formatCode="_ * #,##0.00_ ;_ * &quot;₩&quot;&quot;₩&quot;\-#,##0.00_ ;_ * &quot;-&quot;??_ ;_ @_ "/>
    <numFmt numFmtId="185" formatCode="_ * #,##0_ ;_ * \-#,##0_ ;_ * &quot;-&quot;_ ;_ @_ "/>
    <numFmt numFmtId="186" formatCode="_ * #,##0.00_ ;_ * \-#,##0.00_ ;_ * &quot;-&quot;??_ ;_ @_ "/>
    <numFmt numFmtId="187" formatCode="&quot;₩&quot;#,##0;&quot;₩&quot;&quot;₩&quot;\-#,##0"/>
    <numFmt numFmtId="188" formatCode="&quot;₩&quot;#,##0.00;&quot;₩&quot;&quot;₩&quot;\-#,##0.00"/>
    <numFmt numFmtId="189" formatCode="#,##0.000"/>
    <numFmt numFmtId="190" formatCode="#,##0;\(#,##0\)"/>
    <numFmt numFmtId="191" formatCode="&quot;( &quot;m&quot; 월) 일일 작업내용&quot;"/>
    <numFmt numFmtId="192" formatCode="0_);[Red]\(0\)"/>
    <numFmt numFmtId="193" formatCode="#,##0_ "/>
  </numFmts>
  <fonts count="5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2"/>
      <name val="굴림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sz val="11"/>
      <name val="굴림"/>
      <family val="3"/>
      <charset val="129"/>
    </font>
    <font>
      <b/>
      <sz val="20"/>
      <name val="굴림"/>
      <family val="3"/>
      <charset val="129"/>
    </font>
    <font>
      <u/>
      <sz val="10"/>
      <color indexed="36"/>
      <name val="Arial"/>
      <family val="2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2"/>
      <name val="¹ÙÅÁÃ¼"/>
      <family val="1"/>
      <charset val="129"/>
    </font>
    <font>
      <sz val="11"/>
      <color indexed="20"/>
      <name val="Arial"/>
      <family val="2"/>
    </font>
    <font>
      <sz val="10"/>
      <name val="¹ÙÅÁÃ¼"/>
      <family val="1"/>
      <charset val="129"/>
    </font>
    <font>
      <b/>
      <sz val="11"/>
      <color indexed="52"/>
      <name val="Arial"/>
      <family val="2"/>
    </font>
    <font>
      <b/>
      <sz val="11"/>
      <color indexed="9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color indexed="24"/>
      <name val="Arial"/>
      <family val="2"/>
    </font>
    <font>
      <sz val="12"/>
      <name val="바탕체"/>
      <family val="1"/>
      <charset val="129"/>
    </font>
    <font>
      <i/>
      <sz val="11"/>
      <color indexed="23"/>
      <name val="Arial"/>
      <family val="2"/>
    </font>
    <font>
      <u/>
      <sz val="11"/>
      <color indexed="36"/>
      <name val="Arial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Arial"/>
      <family val="2"/>
    </font>
    <font>
      <u/>
      <sz val="11"/>
      <color indexed="12"/>
      <name val="Arial"/>
      <family val="2"/>
    </font>
    <font>
      <sz val="11"/>
      <color indexed="62"/>
      <name val="Arial"/>
      <family val="2"/>
    </font>
    <font>
      <sz val="11"/>
      <color indexed="52"/>
      <name val="Arial"/>
      <family val="2"/>
    </font>
    <font>
      <sz val="11"/>
      <color indexed="60"/>
      <name val="Arial"/>
      <family val="2"/>
    </font>
    <font>
      <sz val="11"/>
      <name val="µ¸¿ò"/>
      <family val="3"/>
      <charset val="129"/>
    </font>
    <font>
      <b/>
      <sz val="11"/>
      <color indexed="63"/>
      <name val="Arial"/>
      <family val="2"/>
    </font>
    <font>
      <b/>
      <sz val="18"/>
      <color indexed="56"/>
      <name val="Cambria"/>
      <family val="1"/>
    </font>
    <font>
      <sz val="11"/>
      <color indexed="10"/>
      <name val="Arial"/>
      <family val="2"/>
    </font>
    <font>
      <sz val="12"/>
      <name val="뼻뮝"/>
      <family val="1"/>
      <charset val="129"/>
    </font>
    <font>
      <sz val="11"/>
      <color indexed="8"/>
      <name val="맑은 고딕"/>
      <family val="3"/>
      <charset val="129"/>
    </font>
    <font>
      <sz val="10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vertAlign val="superscript"/>
      <sz val="12"/>
      <name val="굴림"/>
      <family val="3"/>
      <charset val="129"/>
    </font>
    <font>
      <sz val="12"/>
      <name val="돋움"/>
      <family val="3"/>
      <charset val="129"/>
    </font>
    <font>
      <b/>
      <sz val="1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0"/>
      <name val="바탕체"/>
      <family val="1"/>
      <charset val="129"/>
    </font>
    <font>
      <b/>
      <sz val="11"/>
      <name val="서울헤드라인"/>
      <family val="1"/>
      <charset val="129"/>
    </font>
    <font>
      <sz val="8"/>
      <name val="바탕체"/>
      <family val="1"/>
      <charset val="129"/>
    </font>
    <font>
      <b/>
      <sz val="18"/>
      <color indexed="8"/>
      <name val="돋움"/>
      <family val="3"/>
      <charset val="129"/>
    </font>
    <font>
      <sz val="8"/>
      <name val="맑은 고딕"/>
      <family val="3"/>
      <charset val="129"/>
    </font>
    <font>
      <sz val="12"/>
      <color theme="1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</borders>
  <cellStyleXfs count="92">
    <xf numFmtId="0" fontId="0" fillId="0" borderId="0"/>
    <xf numFmtId="41" fontId="4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181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0" fontId="14" fillId="3" borderId="0" applyNumberFormat="0" applyBorder="0" applyAlignment="0" applyProtection="0"/>
    <xf numFmtId="0" fontId="15" fillId="0" borderId="0"/>
    <xf numFmtId="0" fontId="16" fillId="20" borderId="23" applyNumberFormat="0" applyAlignment="0" applyProtection="0"/>
    <xf numFmtId="0" fontId="17" fillId="21" borderId="24" applyNumberFormat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85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3" fontId="20" fillId="0" borderId="0" applyFont="0" applyFill="0" applyBorder="0" applyAlignment="0" applyProtection="0"/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21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2" fillId="0" borderId="0" applyNumberFormat="0" applyFill="0" applyBorder="0" applyAlignment="0" applyProtection="0"/>
    <xf numFmtId="2" fontId="20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4" fillId="4" borderId="0" applyNumberFormat="0" applyBorder="0" applyAlignment="0" applyProtection="0"/>
    <xf numFmtId="38" fontId="25" fillId="22" borderId="0" applyNumberFormat="0" applyBorder="0" applyAlignment="0" applyProtection="0"/>
    <xf numFmtId="0" fontId="26" fillId="0" borderId="25" applyNumberFormat="0" applyAlignment="0" applyProtection="0">
      <alignment horizontal="left" vertical="center"/>
    </xf>
    <xf numFmtId="0" fontId="26" fillId="0" borderId="8">
      <alignment horizontal="left" vertical="center"/>
    </xf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26" applyNumberFormat="0" applyFill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31" fillId="7" borderId="23" applyNumberFormat="0" applyAlignment="0" applyProtection="0"/>
    <xf numFmtId="10" fontId="25" fillId="23" borderId="6" applyNumberFormat="0" applyBorder="0" applyAlignment="0" applyProtection="0"/>
    <xf numFmtId="0" fontId="32" fillId="0" borderId="27" applyNumberFormat="0" applyFill="0" applyAlignment="0" applyProtection="0"/>
    <xf numFmtId="0" fontId="33" fillId="24" borderId="0" applyNumberFormat="0" applyBorder="0" applyAlignment="0" applyProtection="0"/>
    <xf numFmtId="190" fontId="34" fillId="0" borderId="0"/>
    <xf numFmtId="0" fontId="19" fillId="0" borderId="0"/>
    <xf numFmtId="0" fontId="4" fillId="25" borderId="28" applyNumberFormat="0" applyFont="0" applyAlignment="0" applyProtection="0"/>
    <xf numFmtId="0" fontId="35" fillId="20" borderId="29" applyNumberFormat="0" applyAlignment="0" applyProtection="0"/>
    <xf numFmtId="10" fontId="19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20" fillId="0" borderId="30" applyNumberFormat="0" applyFont="0" applyFill="0" applyAlignment="0" applyProtection="0"/>
    <xf numFmtId="0" fontId="37" fillId="0" borderId="0" applyNumberFormat="0" applyFill="0" applyBorder="0" applyAlignment="0" applyProtection="0"/>
    <xf numFmtId="0" fontId="38" fillId="0" borderId="0"/>
    <xf numFmtId="41" fontId="39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41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3" fillId="0" borderId="0">
      <alignment vertical="center"/>
    </xf>
    <xf numFmtId="0" fontId="4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41" fontId="4" fillId="0" borderId="0">
      <alignment vertical="center"/>
    </xf>
    <xf numFmtId="42" fontId="4" fillId="0" borderId="0">
      <alignment vertical="center"/>
    </xf>
    <xf numFmtId="41" fontId="4" fillId="0" borderId="0">
      <alignment vertical="center"/>
    </xf>
    <xf numFmtId="41" fontId="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53" fillId="0" borderId="0">
      <alignment vertical="center"/>
    </xf>
    <xf numFmtId="41" fontId="53" fillId="0" borderId="0" applyFont="0" applyFill="0" applyBorder="0" applyAlignment="0" applyProtection="0">
      <alignment vertical="center"/>
    </xf>
  </cellStyleXfs>
  <cellXfs count="118">
    <xf numFmtId="0" fontId="0" fillId="0" borderId="0" xfId="0"/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7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center"/>
    </xf>
    <xf numFmtId="176" fontId="7" fillId="0" borderId="0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4" xfId="0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41" fontId="5" fillId="0" borderId="0" xfId="0" applyNumberFormat="1" applyFont="1" applyFill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horizontal="right" vertical="center"/>
    </xf>
    <xf numFmtId="0" fontId="5" fillId="0" borderId="21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vertical="center"/>
    </xf>
    <xf numFmtId="0" fontId="5" fillId="0" borderId="0" xfId="0" applyFont="1" applyBorder="1" applyAlignment="1">
      <alignment horizontal="centerContinuous" vertical="center"/>
    </xf>
    <xf numFmtId="0" fontId="5" fillId="0" borderId="9" xfId="0" applyFont="1" applyBorder="1" applyAlignment="1">
      <alignment horizontal="centerContinuous" vertical="center"/>
    </xf>
    <xf numFmtId="0" fontId="5" fillId="0" borderId="7" xfId="0" applyFont="1" applyBorder="1" applyAlignment="1">
      <alignment horizontal="centerContinuous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Continuous" vertical="center"/>
    </xf>
    <xf numFmtId="0" fontId="5" fillId="0" borderId="16" xfId="0" applyFont="1" applyBorder="1" applyAlignment="1">
      <alignment horizontal="centerContinuous" vertical="center"/>
    </xf>
    <xf numFmtId="0" fontId="5" fillId="0" borderId="14" xfId="0" applyFont="1" applyBorder="1" applyAlignment="1">
      <alignment horizontal="centerContinuous" vertical="center"/>
    </xf>
    <xf numFmtId="0" fontId="5" fillId="0" borderId="12" xfId="0" applyFont="1" applyBorder="1" applyAlignment="1">
      <alignment horizontal="centerContinuous" vertical="center"/>
    </xf>
    <xf numFmtId="0" fontId="5" fillId="0" borderId="7" xfId="0" applyFont="1" applyBorder="1" applyAlignment="1">
      <alignment horizontal="center" vertical="center"/>
    </xf>
    <xf numFmtId="0" fontId="42" fillId="0" borderId="10" xfId="0" applyFont="1" applyFill="1" applyBorder="1" applyAlignment="1"/>
    <xf numFmtId="0" fontId="5" fillId="0" borderId="10" xfId="0" applyFont="1" applyFill="1" applyBorder="1" applyAlignment="1">
      <alignment vertical="center" shrinkToFit="1"/>
    </xf>
    <xf numFmtId="0" fontId="8" fillId="0" borderId="6" xfId="0" applyFont="1" applyBorder="1" applyAlignment="1">
      <alignment horizontal="left" vertical="center" wrapText="1"/>
    </xf>
    <xf numFmtId="0" fontId="44" fillId="0" borderId="0" xfId="87" applyFont="1">
      <alignment vertical="center"/>
    </xf>
    <xf numFmtId="0" fontId="46" fillId="0" borderId="0" xfId="87" applyFont="1" applyAlignment="1">
      <alignment horizontal="center" vertical="center"/>
    </xf>
    <xf numFmtId="191" fontId="47" fillId="0" borderId="0" xfId="87" applyNumberFormat="1" applyFont="1" applyAlignment="1">
      <alignment horizontal="center" vertical="center"/>
    </xf>
    <xf numFmtId="191" fontId="46" fillId="0" borderId="0" xfId="87" applyNumberFormat="1" applyFont="1" applyAlignment="1">
      <alignment horizontal="center" vertical="center" wrapText="1"/>
    </xf>
    <xf numFmtId="191" fontId="46" fillId="0" borderId="0" xfId="87" applyNumberFormat="1" applyFont="1" applyAlignment="1">
      <alignment horizontal="center" vertical="center"/>
    </xf>
    <xf numFmtId="0" fontId="46" fillId="0" borderId="6" xfId="87" applyFont="1" applyBorder="1" applyAlignment="1">
      <alignment horizontal="center" vertical="center"/>
    </xf>
    <xf numFmtId="49" fontId="46" fillId="0" borderId="0" xfId="87" applyNumberFormat="1" applyFont="1" applyAlignment="1">
      <alignment horizontal="center" vertical="center"/>
    </xf>
    <xf numFmtId="0" fontId="46" fillId="0" borderId="11" xfId="87" applyFont="1" applyBorder="1" applyAlignment="1">
      <alignment horizontal="center" vertical="center"/>
    </xf>
    <xf numFmtId="0" fontId="48" fillId="26" borderId="6" xfId="87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80" fontId="5" fillId="0" borderId="18" xfId="0" applyNumberFormat="1" applyFont="1" applyBorder="1" applyAlignment="1">
      <alignment horizontal="center" vertical="center"/>
    </xf>
    <xf numFmtId="180" fontId="5" fillId="0" borderId="17" xfId="0" applyNumberFormat="1" applyFont="1" applyBorder="1" applyAlignment="1">
      <alignment horizontal="center" vertical="center"/>
    </xf>
    <xf numFmtId="180" fontId="5" fillId="0" borderId="16" xfId="0" applyNumberFormat="1" applyFont="1" applyBorder="1" applyAlignment="1">
      <alignment horizontal="center" vertical="center"/>
    </xf>
    <xf numFmtId="180" fontId="5" fillId="0" borderId="14" xfId="0" applyNumberFormat="1" applyFont="1" applyBorder="1" applyAlignment="1">
      <alignment horizontal="center" vertical="center"/>
    </xf>
    <xf numFmtId="180" fontId="5" fillId="0" borderId="13" xfId="0" applyNumberFormat="1" applyFont="1" applyBorder="1" applyAlignment="1">
      <alignment horizontal="center" vertical="center"/>
    </xf>
    <xf numFmtId="180" fontId="5" fillId="0" borderId="12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179" fontId="5" fillId="0" borderId="9" xfId="0" applyNumberFormat="1" applyFont="1" applyBorder="1" applyAlignment="1">
      <alignment horizontal="left" vertical="center"/>
    </xf>
    <xf numFmtId="179" fontId="5" fillId="0" borderId="8" xfId="0" applyNumberFormat="1" applyFont="1" applyBorder="1" applyAlignment="1">
      <alignment horizontal="left" vertical="center"/>
    </xf>
    <xf numFmtId="3" fontId="5" fillId="0" borderId="8" xfId="1" applyNumberFormat="1" applyFont="1" applyBorder="1" applyAlignment="1">
      <alignment horizontal="center" vertical="center"/>
    </xf>
    <xf numFmtId="41" fontId="5" fillId="0" borderId="8" xfId="0" applyNumberFormat="1" applyFont="1" applyBorder="1" applyAlignment="1">
      <alignment horizontal="left" vertical="center"/>
    </xf>
    <xf numFmtId="0" fontId="5" fillId="0" borderId="8" xfId="0" applyNumberFormat="1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0" borderId="9" xfId="1" applyNumberFormat="1" applyFont="1" applyBorder="1" applyAlignment="1">
      <alignment horizontal="center" vertical="center" wrapText="1"/>
    </xf>
    <xf numFmtId="0" fontId="5" fillId="0" borderId="7" xfId="1" applyNumberFormat="1" applyFont="1" applyBorder="1" applyAlignment="1">
      <alignment horizontal="center" vertical="center" wrapText="1"/>
    </xf>
    <xf numFmtId="41" fontId="5" fillId="0" borderId="9" xfId="1" applyFont="1" applyBorder="1" applyAlignment="1">
      <alignment horizontal="center" vertical="center" wrapText="1"/>
    </xf>
    <xf numFmtId="41" fontId="5" fillId="0" borderId="8" xfId="1" applyFont="1" applyBorder="1" applyAlignment="1">
      <alignment horizontal="center" vertical="center" wrapText="1"/>
    </xf>
    <xf numFmtId="41" fontId="5" fillId="0" borderId="7" xfId="1" applyFont="1" applyBorder="1" applyAlignment="1">
      <alignment horizontal="center" vertical="center" wrapText="1"/>
    </xf>
    <xf numFmtId="41" fontId="5" fillId="0" borderId="9" xfId="1" applyFont="1" applyBorder="1" applyAlignment="1">
      <alignment horizontal="center" vertical="center" shrinkToFit="1"/>
    </xf>
    <xf numFmtId="41" fontId="5" fillId="0" borderId="8" xfId="1" applyFont="1" applyBorder="1" applyAlignment="1">
      <alignment horizontal="center" vertical="center" shrinkToFit="1"/>
    </xf>
    <xf numFmtId="41" fontId="5" fillId="0" borderId="7" xfId="1" applyFont="1" applyBorder="1" applyAlignment="1">
      <alignment horizontal="center" vertical="center" shrinkToFit="1"/>
    </xf>
    <xf numFmtId="178" fontId="5" fillId="0" borderId="9" xfId="0" applyNumberFormat="1" applyFont="1" applyBorder="1" applyAlignment="1">
      <alignment horizontal="center" vertical="center" shrinkToFit="1"/>
    </xf>
    <xf numFmtId="178" fontId="5" fillId="0" borderId="7" xfId="0" applyNumberFormat="1" applyFont="1" applyBorder="1" applyAlignment="1">
      <alignment horizontal="center" vertical="center" shrinkToFit="1"/>
    </xf>
    <xf numFmtId="177" fontId="5" fillId="0" borderId="9" xfId="1" applyNumberFormat="1" applyFont="1" applyBorder="1" applyAlignment="1">
      <alignment horizontal="center" vertical="center" shrinkToFit="1"/>
    </xf>
    <xf numFmtId="177" fontId="5" fillId="0" borderId="7" xfId="1" applyNumberFormat="1" applyFont="1" applyBorder="1" applyAlignment="1">
      <alignment horizontal="center" vertical="center" shrinkToFit="1"/>
    </xf>
    <xf numFmtId="38" fontId="5" fillId="0" borderId="6" xfId="0" applyNumberFormat="1" applyFont="1" applyBorder="1" applyAlignment="1">
      <alignment horizontal="right" vertical="center" shrinkToFit="1"/>
    </xf>
    <xf numFmtId="0" fontId="5" fillId="0" borderId="6" xfId="0" applyFont="1" applyBorder="1" applyAlignment="1">
      <alignment horizontal="center" vertical="center" shrinkToFit="1"/>
    </xf>
    <xf numFmtId="0" fontId="43" fillId="0" borderId="9" xfId="0" applyFont="1" applyBorder="1" applyAlignment="1">
      <alignment horizontal="center" vertical="center"/>
    </xf>
    <xf numFmtId="0" fontId="43" fillId="0" borderId="8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41" fontId="5" fillId="0" borderId="6" xfId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right" vertical="center"/>
    </xf>
    <xf numFmtId="0" fontId="46" fillId="26" borderId="6" xfId="87" applyFont="1" applyFill="1" applyBorder="1" applyAlignment="1">
      <alignment horizontal="center" vertical="center"/>
    </xf>
    <xf numFmtId="0" fontId="44" fillId="0" borderId="0" xfId="87" applyFont="1" applyAlignment="1">
      <alignment horizontal="center" vertical="center"/>
    </xf>
    <xf numFmtId="191" fontId="47" fillId="0" borderId="0" xfId="87" applyNumberFormat="1" applyFont="1" applyBorder="1" applyAlignment="1">
      <alignment horizontal="center" vertical="center"/>
    </xf>
    <xf numFmtId="191" fontId="49" fillId="26" borderId="6" xfId="87" applyNumberFormat="1" applyFont="1" applyFill="1" applyBorder="1" applyAlignment="1">
      <alignment horizontal="center" vertical="center"/>
    </xf>
    <xf numFmtId="0" fontId="48" fillId="26" borderId="6" xfId="87" applyFont="1" applyFill="1" applyBorder="1" applyAlignment="1">
      <alignment horizontal="center" vertical="center" wrapText="1"/>
    </xf>
    <xf numFmtId="49" fontId="48" fillId="26" borderId="6" xfId="87" applyNumberFormat="1" applyFont="1" applyFill="1" applyBorder="1" applyAlignment="1">
      <alignment horizontal="center" vertical="center" wrapText="1"/>
    </xf>
    <xf numFmtId="0" fontId="51" fillId="0" borderId="0" xfId="89" applyFont="1" applyAlignment="1">
      <alignment horizontal="center" vertical="center"/>
    </xf>
    <xf numFmtId="0" fontId="41" fillId="0" borderId="0" xfId="89">
      <alignment vertical="center"/>
    </xf>
    <xf numFmtId="0" fontId="53" fillId="0" borderId="0" xfId="90">
      <alignment vertical="center"/>
    </xf>
    <xf numFmtId="0" fontId="54" fillId="0" borderId="0" xfId="90" applyFont="1" applyAlignment="1">
      <alignment horizontal="center" vertical="center"/>
    </xf>
    <xf numFmtId="0" fontId="53" fillId="0" borderId="6" xfId="90" applyBorder="1" applyAlignment="1">
      <alignment horizontal="center" vertical="center"/>
    </xf>
    <xf numFmtId="9" fontId="53" fillId="0" borderId="6" xfId="90" applyNumberFormat="1" applyBorder="1" applyAlignment="1">
      <alignment horizontal="center" vertical="center"/>
    </xf>
    <xf numFmtId="192" fontId="0" fillId="0" borderId="6" xfId="91" applyNumberFormat="1" applyFont="1" applyBorder="1" applyAlignment="1">
      <alignment horizontal="center" vertical="center"/>
    </xf>
    <xf numFmtId="0" fontId="0" fillId="0" borderId="6" xfId="91" applyNumberFormat="1" applyFont="1" applyBorder="1" applyAlignment="1">
      <alignment horizontal="center" vertical="center"/>
    </xf>
    <xf numFmtId="193" fontId="53" fillId="0" borderId="6" xfId="90" applyNumberFormat="1" applyBorder="1" applyAlignment="1">
      <alignment horizontal="center" vertical="center"/>
    </xf>
    <xf numFmtId="0" fontId="53" fillId="0" borderId="6" xfId="90" applyBorder="1" applyAlignment="1">
      <alignment horizontal="center" vertical="center"/>
    </xf>
    <xf numFmtId="193" fontId="0" fillId="0" borderId="6" xfId="91" applyNumberFormat="1" applyFont="1" applyBorder="1" applyAlignment="1">
      <alignment horizontal="center" vertical="center"/>
    </xf>
  </cellXfs>
  <cellStyles count="92">
    <cellStyle name="µÚ¿¡ ¿À´Â ÇÏÀÌÆÛ¸µÅ©" xfId="2"/>
    <cellStyle name="20% - Accent1" xfId="3"/>
    <cellStyle name="20% - Accent2" xfId="4"/>
    <cellStyle name="20% - Accent3" xfId="5"/>
    <cellStyle name="20% - Accent4" xfId="6"/>
    <cellStyle name="20% - Accent5" xfId="7"/>
    <cellStyle name="20% - Accent6" xfId="8"/>
    <cellStyle name="40% - Accent1" xfId="9"/>
    <cellStyle name="40% - Accent2" xfId="10"/>
    <cellStyle name="40% - Accent3" xfId="11"/>
    <cellStyle name="40% - Accent4" xfId="12"/>
    <cellStyle name="40% - Accent5" xfId="13"/>
    <cellStyle name="40% - Accent6" xfId="14"/>
    <cellStyle name="60% - Accent1" xfId="15"/>
    <cellStyle name="60% - Accent2" xfId="16"/>
    <cellStyle name="60% - Accent3" xfId="17"/>
    <cellStyle name="60% - Accent4" xfId="18"/>
    <cellStyle name="60% - Accent5" xfId="19"/>
    <cellStyle name="60% - Accent6" xfId="20"/>
    <cellStyle name="Accent1" xfId="21"/>
    <cellStyle name="Accent2" xfId="22"/>
    <cellStyle name="Accent3" xfId="23"/>
    <cellStyle name="Accent4" xfId="24"/>
    <cellStyle name="Accent5" xfId="25"/>
    <cellStyle name="Accent6" xfId="26"/>
    <cellStyle name="ÅëÈ­ [0]_BD111" xfId="27"/>
    <cellStyle name="ÅëÈ­_BD111" xfId="28"/>
    <cellStyle name="ÄÞ¸¶ [0]_BD111" xfId="29"/>
    <cellStyle name="ÄÞ¸¶_BD111" xfId="30"/>
    <cellStyle name="Bad" xfId="31"/>
    <cellStyle name="Ç¥ÁØ_¿ù½ÇÀû" xfId="32"/>
    <cellStyle name="Calculation" xfId="33"/>
    <cellStyle name="Check Cell" xfId="34"/>
    <cellStyle name="ÇÏÀÌÆÛ¸µÅ©" xfId="35"/>
    <cellStyle name="Comma [0]_ SG&amp;A Bridge " xfId="36"/>
    <cellStyle name="Comma_ SG&amp;A Bridge " xfId="37"/>
    <cellStyle name="Comma0" xfId="38"/>
    <cellStyle name="Currency [0]_ SG&amp;A Bridge " xfId="39"/>
    <cellStyle name="Currency_ SG&amp;A Bridge " xfId="40"/>
    <cellStyle name="Currency0" xfId="41"/>
    <cellStyle name="Date" xfId="42"/>
    <cellStyle name="Explanatory Text" xfId="43"/>
    <cellStyle name="Fixed" xfId="44"/>
    <cellStyle name="Followed Hyperlink_S-Curve_MCKIM" xfId="45"/>
    <cellStyle name="Good" xfId="46"/>
    <cellStyle name="Grey" xfId="47"/>
    <cellStyle name="Header1" xfId="48"/>
    <cellStyle name="Header2" xfId="49"/>
    <cellStyle name="Heading 1" xfId="50"/>
    <cellStyle name="Heading 2" xfId="51"/>
    <cellStyle name="Heading 3" xfId="52"/>
    <cellStyle name="Heading 4" xfId="53"/>
    <cellStyle name="Hyperlink_S-Curve_MCKIM" xfId="54"/>
    <cellStyle name="Input" xfId="55"/>
    <cellStyle name="Input [yellow]" xfId="56"/>
    <cellStyle name="Linked Cell" xfId="57"/>
    <cellStyle name="Neutral" xfId="58"/>
    <cellStyle name="Normal - Style1" xfId="59"/>
    <cellStyle name="Normal_ SG&amp;A Bridge " xfId="60"/>
    <cellStyle name="Note" xfId="61"/>
    <cellStyle name="Output" xfId="62"/>
    <cellStyle name="Percent [2]" xfId="63"/>
    <cellStyle name="Title" xfId="64"/>
    <cellStyle name="Total" xfId="65"/>
    <cellStyle name="Warning Text" xfId="66"/>
    <cellStyle name="뷭?_BOOKSHIP" xfId="67"/>
    <cellStyle name="쉼표 [0]" xfId="1" builtinId="6"/>
    <cellStyle name="쉼표 [0] 10 10" xfId="85"/>
    <cellStyle name="쉼표 [0] 2" xfId="68"/>
    <cellStyle name="쉼표 [0] 3" xfId="86"/>
    <cellStyle name="쉼표 [0] 37" xfId="83"/>
    <cellStyle name="쉼표 [0] 4" xfId="88"/>
    <cellStyle name="쉼표 [0] 5" xfId="91"/>
    <cellStyle name="스타일 1" xfId="69"/>
    <cellStyle name="콤마 [0]_#103진수" xfId="70"/>
    <cellStyle name="콤마_#103진수" xfId="71"/>
    <cellStyle name="통화 [0] 2" xfId="84"/>
    <cellStyle name="표준" xfId="0" builtinId="0"/>
    <cellStyle name="표준 10" xfId="81"/>
    <cellStyle name="표준 11" xfId="90"/>
    <cellStyle name="표준 2" xfId="72"/>
    <cellStyle name="표준 2 2" xfId="89"/>
    <cellStyle name="표준 3" xfId="73"/>
    <cellStyle name="표준 4" xfId="74"/>
    <cellStyle name="표준 5" xfId="75"/>
    <cellStyle name="표준 5 2" xfId="76"/>
    <cellStyle name="표준 5 3" xfId="77"/>
    <cellStyle name="표준 5 3 2" xfId="78"/>
    <cellStyle name="표준 6" xfId="79"/>
    <cellStyle name="표준 7" xfId="80"/>
    <cellStyle name="표준 8" xfId="82"/>
    <cellStyle name="표준 9" xfId="8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1372</xdr:row>
      <xdr:rowOff>0</xdr:rowOff>
    </xdr:from>
    <xdr:to>
      <xdr:col>14</xdr:col>
      <xdr:colOff>28575</xdr:colOff>
      <xdr:row>1372</xdr:row>
      <xdr:rowOff>57150</xdr:rowOff>
    </xdr:to>
    <xdr:grpSp>
      <xdr:nvGrpSpPr>
        <xdr:cNvPr id="2" name="Group 9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>
          <a:grpSpLocks/>
        </xdr:cNvGrpSpPr>
      </xdr:nvGrpSpPr>
      <xdr:grpSpPr bwMode="auto">
        <a:xfrm>
          <a:off x="3400425" y="353748975"/>
          <a:ext cx="1485900" cy="57150"/>
          <a:chOff x="256" y="251"/>
          <a:chExt cx="109" cy="13"/>
        </a:xfrm>
      </xdr:grpSpPr>
      <xdr:sp macro="" textlink="">
        <xdr:nvSpPr>
          <xdr:cNvPr id="3" name="Line 10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>
            <a:spLocks noChangeShapeType="1"/>
          </xdr:cNvSpPr>
        </xdr:nvSpPr>
        <xdr:spPr bwMode="auto">
          <a:xfrm>
            <a:off x="256" y="257"/>
            <a:ext cx="10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Line 11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>
            <a:spLocks noChangeShapeType="1"/>
          </xdr:cNvSpPr>
        </xdr:nvSpPr>
        <xdr:spPr bwMode="auto">
          <a:xfrm>
            <a:off x="295" y="254"/>
            <a:ext cx="7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" name="Line 12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>
            <a:spLocks noChangeShapeType="1"/>
          </xdr:cNvSpPr>
        </xdr:nvSpPr>
        <xdr:spPr bwMode="auto">
          <a:xfrm>
            <a:off x="300" y="251"/>
            <a:ext cx="7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10</xdr:col>
      <xdr:colOff>215081</xdr:colOff>
      <xdr:row>842</xdr:row>
      <xdr:rowOff>77513</xdr:rowOff>
    </xdr:from>
    <xdr:to>
      <xdr:col>14</xdr:col>
      <xdr:colOff>20484</xdr:colOff>
      <xdr:row>842</xdr:row>
      <xdr:rowOff>123232</xdr:rowOff>
    </xdr:to>
    <xdr:grpSp>
      <xdr:nvGrpSpPr>
        <xdr:cNvPr id="6" name="Group 9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>
          <a:grpSpLocks/>
        </xdr:cNvGrpSpPr>
      </xdr:nvGrpSpPr>
      <xdr:grpSpPr bwMode="auto">
        <a:xfrm>
          <a:off x="3682181" y="217523738"/>
          <a:ext cx="1196053" cy="45719"/>
          <a:chOff x="256" y="251"/>
          <a:chExt cx="109" cy="13"/>
        </a:xfrm>
      </xdr:grpSpPr>
      <xdr:sp macro="" textlink="">
        <xdr:nvSpPr>
          <xdr:cNvPr id="7" name="Line 10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>
            <a:spLocks noChangeShapeType="1"/>
          </xdr:cNvSpPr>
        </xdr:nvSpPr>
        <xdr:spPr bwMode="auto">
          <a:xfrm>
            <a:off x="256" y="257"/>
            <a:ext cx="10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" name="Line 11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>
            <a:spLocks noChangeShapeType="1"/>
          </xdr:cNvSpPr>
        </xdr:nvSpPr>
        <xdr:spPr bwMode="auto">
          <a:xfrm>
            <a:off x="295" y="254"/>
            <a:ext cx="7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" name="Line 12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300" y="251"/>
            <a:ext cx="7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10</xdr:col>
      <xdr:colOff>2509</xdr:colOff>
      <xdr:row>99</xdr:row>
      <xdr:rowOff>140291</xdr:rowOff>
    </xdr:from>
    <xdr:to>
      <xdr:col>14</xdr:col>
      <xdr:colOff>413</xdr:colOff>
      <xdr:row>99</xdr:row>
      <xdr:rowOff>186010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pSpPr>
          <a:grpSpLocks/>
        </xdr:cNvGrpSpPr>
      </xdr:nvGrpSpPr>
      <xdr:grpSpPr bwMode="auto">
        <a:xfrm>
          <a:off x="3469609" y="26505491"/>
          <a:ext cx="1388554" cy="45719"/>
          <a:chOff x="256" y="251"/>
          <a:chExt cx="109" cy="13"/>
        </a:xfrm>
      </xdr:grpSpPr>
      <xdr:sp macro="" textlink="">
        <xdr:nvSpPr>
          <xdr:cNvPr id="11" name="Line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>
            <a:spLocks noChangeShapeType="1"/>
          </xdr:cNvSpPr>
        </xdr:nvSpPr>
        <xdr:spPr bwMode="auto">
          <a:xfrm>
            <a:off x="256" y="257"/>
            <a:ext cx="10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" name="Line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295" y="254"/>
            <a:ext cx="7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" name="Line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>
            <a:spLocks noChangeShapeType="1"/>
          </xdr:cNvSpPr>
        </xdr:nvSpPr>
        <xdr:spPr bwMode="auto">
          <a:xfrm>
            <a:off x="300" y="251"/>
            <a:ext cx="7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9</xdr:col>
      <xdr:colOff>29533</xdr:colOff>
      <xdr:row>139</xdr:row>
      <xdr:rowOff>81221</xdr:rowOff>
    </xdr:from>
    <xdr:to>
      <xdr:col>13</xdr:col>
      <xdr:colOff>278262</xdr:colOff>
      <xdr:row>139</xdr:row>
      <xdr:rowOff>126940</xdr:rowOff>
    </xdr:to>
    <xdr:grpSp>
      <xdr:nvGrpSpPr>
        <xdr:cNvPr id="14" name="Group 9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pSpPr>
          <a:grpSpLocks/>
        </xdr:cNvGrpSpPr>
      </xdr:nvGrpSpPr>
      <xdr:grpSpPr bwMode="auto">
        <a:xfrm>
          <a:off x="3429958" y="36733421"/>
          <a:ext cx="1258379" cy="45719"/>
          <a:chOff x="256" y="251"/>
          <a:chExt cx="109" cy="13"/>
        </a:xfrm>
      </xdr:grpSpPr>
      <xdr:sp macro="" textlink="">
        <xdr:nvSpPr>
          <xdr:cNvPr id="15" name="Line 10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256" y="257"/>
            <a:ext cx="10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" name="Line 11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>
            <a:spLocks noChangeShapeType="1"/>
          </xdr:cNvSpPr>
        </xdr:nvSpPr>
        <xdr:spPr bwMode="auto">
          <a:xfrm>
            <a:off x="295" y="254"/>
            <a:ext cx="7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7" name="Line 12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>
            <a:spLocks noChangeShapeType="1"/>
          </xdr:cNvSpPr>
        </xdr:nvSpPr>
        <xdr:spPr bwMode="auto">
          <a:xfrm>
            <a:off x="300" y="251"/>
            <a:ext cx="7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11</xdr:col>
      <xdr:colOff>38100</xdr:colOff>
      <xdr:row>8</xdr:row>
      <xdr:rowOff>171450</xdr:rowOff>
    </xdr:from>
    <xdr:to>
      <xdr:col>15</xdr:col>
      <xdr:colOff>57150</xdr:colOff>
      <xdr:row>8</xdr:row>
      <xdr:rowOff>222415</xdr:rowOff>
    </xdr:to>
    <xdr:grpSp>
      <xdr:nvGrpSpPr>
        <xdr:cNvPr id="18" name="Group 9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>
          <a:grpSpLocks/>
        </xdr:cNvGrpSpPr>
      </xdr:nvGrpSpPr>
      <xdr:grpSpPr bwMode="auto">
        <a:xfrm flipV="1">
          <a:off x="3886200" y="2695575"/>
          <a:ext cx="1276350" cy="50965"/>
          <a:chOff x="256" y="251"/>
          <a:chExt cx="109" cy="13"/>
        </a:xfrm>
      </xdr:grpSpPr>
      <xdr:sp macro="" textlink="">
        <xdr:nvSpPr>
          <xdr:cNvPr id="19" name="Line 10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256" y="257"/>
            <a:ext cx="10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" name="Line 11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>
            <a:spLocks noChangeShapeType="1"/>
          </xdr:cNvSpPr>
        </xdr:nvSpPr>
        <xdr:spPr bwMode="auto">
          <a:xfrm>
            <a:off x="295" y="254"/>
            <a:ext cx="7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" name="Line 12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>
            <a:spLocks noChangeShapeType="1"/>
          </xdr:cNvSpPr>
        </xdr:nvSpPr>
        <xdr:spPr bwMode="auto">
          <a:xfrm>
            <a:off x="300" y="251"/>
            <a:ext cx="7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&#54620;&#44397;&#53580;&#53356;\CADWIN\Excel%20&#50577;&#49885;\Cadwin%20FORMAT\HOFFICE\TMP\~TMP3728.$$$\BOOK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884;&#49444;\&#51060;&#49345;&#44368;\Sp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&#54620;&#44397;&#53580;&#53356;\CADWIN\Excel%20&#50577;&#49885;\Cadwin%20FORMAT\Q610\MTG\&#49444;&#44228;7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37;&#48176;\MY%20DOCUMENTS\HOFFICE\TMP\~TMP2764.$$$\Rbs-8D&#44277;&#50976;\ST05\PJT\Rbs-8M\Structure\ST\RBS-8M\SDWGLIS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xp4800plus-66a\&#54620;&#44397;&#53580;&#53356;\&#47928;&#49436;\&#44592;&#49457;&#48143;&#44228;&#50557;&#49436;\2025\&#50756;&#47308;\2025&#45380;_&#54620;&#44397;&#50556;&#45208;&#49464;_10&#50900;&#44592;&#49457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&#50629;&#47924;\&#47928;&#49436;\&#44592;&#49457;&#44288;&#47144;\&#54620;&#44397;%20&#53580;&#53356;%205&#50900;%20&#44144;&#47000;&#47749;&#49464;&#49436;\2026&#45380;_&#54620;&#44397;&#50556;&#45208;&#49464;_5&#50900;&#44592;&#49457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t\&#54620;&#44397;&#53580;&#53356;\&#47928;&#49436;\&#54620;&#44397;&#53580;&#53356;&#44592;&#49457;\2015\&#53685;&#50689;&#51312;&#49440;S1002\5&#50900;%20&#51208;&#45800;&#44592;&#49457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\MCT\BUDGET\KMH\&#49324;&#50629;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w016\sys\USER\PLAN\SCH\SILJEK\98MONTH\1MON\INDO1\MON98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&#54620;&#44397;&#53580;&#53356;\&#46020;&#47732;\LB\4378~4383\3&#50900;%2031&#51068;%20&#51652;&#44368;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&#54620;&#44397;&#53580;&#53356;\&#46020;&#47732;\LB\4378~4383\5&#50900;%2024&#51068;%20&#51652;&#44368;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&#54620;&#44397;&#53580;&#53356;\&#46020;&#47732;\LB\4378~4383\2&#50900;%2024&#51068;%20&#51652;&#44368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기본방향"/>
      <sheetName val="편성절차"/>
      <sheetName val="집행관리"/>
      <sheetName val="첨부1-항목"/>
      <sheetName val="참고-플랜트.특수선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정회의자료(월요일 10시까지)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DWGLIST"/>
      <sheetName val=""/>
    </sheetNames>
    <definedNames>
      <definedName name="DATEFIND"/>
    </defined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기성요청서"/>
      <sheetName val="2.거래명세서"/>
      <sheetName val="3.추가절단내역"/>
      <sheetName val="참조양식"/>
    </sheetNames>
    <sheetDataSet>
      <sheetData sheetId="0" refreshError="1"/>
      <sheetData sheetId="1" refreshError="1"/>
      <sheetData sheetId="2"/>
      <sheetData sheetId="3">
        <row r="1">
          <cell r="A1" t="str">
            <v>공
급
자</v>
          </cell>
          <cell r="B1" t="str">
            <v>등록번호</v>
          </cell>
          <cell r="C1" t="str">
            <v>608-81-35087</v>
          </cell>
          <cell r="F1" t="str">
            <v>공
급
받
는
자</v>
          </cell>
          <cell r="G1" t="str">
            <v>등록번호</v>
          </cell>
          <cell r="H1" t="str">
            <v>608-81-13439</v>
          </cell>
        </row>
        <row r="2">
          <cell r="B2" t="str">
            <v>상호</v>
          </cell>
          <cell r="C2" t="str">
            <v>한국테크주식회사</v>
          </cell>
          <cell r="G2" t="str">
            <v>상호</v>
          </cell>
          <cell r="H2" t="str">
            <v>(주) 한국야나세</v>
          </cell>
        </row>
        <row r="3">
          <cell r="B3" t="str">
            <v>주 소</v>
          </cell>
          <cell r="C3" t="str">
            <v>경남창원시 마산합포구진전면미더덕로 64</v>
          </cell>
          <cell r="G3" t="str">
            <v>주 소</v>
          </cell>
          <cell r="H3" t="str">
            <v>경상남도 창원시 마산합포구 진전면 미더덕로 64</v>
          </cell>
        </row>
        <row r="4">
          <cell r="B4" t="str">
            <v>업 태</v>
          </cell>
          <cell r="C4" t="str">
            <v>제조업</v>
          </cell>
          <cell r="D4" t="str">
            <v>종 목</v>
          </cell>
          <cell r="E4" t="str">
            <v>선박부품</v>
          </cell>
          <cell r="G4" t="str">
            <v>업 태</v>
          </cell>
          <cell r="H4" t="str">
            <v>제조업</v>
          </cell>
          <cell r="I4" t="str">
            <v>종 목</v>
          </cell>
          <cell r="J4" t="str">
            <v>선박구성부분품</v>
          </cell>
        </row>
        <row r="5">
          <cell r="B5" t="str">
            <v>전화번호</v>
          </cell>
          <cell r="C5" t="str">
            <v>055)271-9662</v>
          </cell>
          <cell r="D5" t="str">
            <v>팩 스</v>
          </cell>
          <cell r="E5" t="str">
            <v>055)271-9663</v>
          </cell>
          <cell r="G5" t="str">
            <v>전화번호</v>
          </cell>
          <cell r="H5" t="str">
            <v>055-271-0785</v>
          </cell>
          <cell r="I5" t="str">
            <v>팩 스</v>
          </cell>
          <cell r="J5" t="str">
            <v>055-271-0786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기성요청서"/>
      <sheetName val="2.거래명세서"/>
      <sheetName val="추가상세내역"/>
      <sheetName val="LB상세내역"/>
      <sheetName val="단가표"/>
      <sheetName val="참조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공
급
자</v>
          </cell>
          <cell r="B1" t="str">
            <v>등록번호</v>
          </cell>
          <cell r="C1" t="str">
            <v>608-81-35087</v>
          </cell>
          <cell r="F1" t="str">
            <v>공
급
받
는
자</v>
          </cell>
          <cell r="G1" t="str">
            <v>등록번호</v>
          </cell>
          <cell r="H1" t="str">
            <v>608-81-13439</v>
          </cell>
        </row>
        <row r="2">
          <cell r="B2" t="str">
            <v>상호</v>
          </cell>
          <cell r="C2" t="str">
            <v>한국테크주식회사</v>
          </cell>
          <cell r="G2" t="str">
            <v>상호</v>
          </cell>
          <cell r="H2" t="str">
            <v>(주) 한국야나세</v>
          </cell>
        </row>
        <row r="3">
          <cell r="B3" t="str">
            <v>주 소</v>
          </cell>
          <cell r="C3" t="str">
            <v>경남 하동군 진교면 신안길 2-10</v>
          </cell>
          <cell r="G3" t="str">
            <v>주 소</v>
          </cell>
          <cell r="H3" t="str">
            <v>경상남도 창원시 마산합포구 진전면 미더덕로 64</v>
          </cell>
        </row>
        <row r="4">
          <cell r="B4" t="str">
            <v>업 태</v>
          </cell>
          <cell r="C4" t="str">
            <v>제조업</v>
          </cell>
          <cell r="D4" t="str">
            <v>종 목</v>
          </cell>
          <cell r="E4" t="str">
            <v>선박부품</v>
          </cell>
          <cell r="G4" t="str">
            <v>업 태</v>
          </cell>
          <cell r="H4" t="str">
            <v>제조업</v>
          </cell>
          <cell r="I4" t="str">
            <v>종 목</v>
          </cell>
          <cell r="J4" t="str">
            <v>선박구성부분품</v>
          </cell>
        </row>
        <row r="5">
          <cell r="B5" t="str">
            <v>전화번호</v>
          </cell>
          <cell r="C5" t="str">
            <v>055-884-0785</v>
          </cell>
          <cell r="D5" t="str">
            <v>팩 스</v>
          </cell>
          <cell r="E5" t="str">
            <v>055-884-0786</v>
          </cell>
          <cell r="G5" t="str">
            <v>전화번호</v>
          </cell>
          <cell r="H5" t="str">
            <v>055-271-0785</v>
          </cell>
          <cell r="I5" t="str">
            <v>팩 스</v>
          </cell>
          <cell r="J5" t="str">
            <v>055-271-0786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월기성표지"/>
      <sheetName val="거래명세표"/>
      <sheetName val="등록잔재내역"/>
      <sheetName val="양식"/>
    </sheetNames>
    <sheetDataSet>
      <sheetData sheetId="0" refreshError="1"/>
      <sheetData sheetId="1" refreshError="1"/>
      <sheetData sheetId="2" refreshError="1"/>
      <sheetData sheetId="3">
        <row r="56">
          <cell r="Y56" t="str">
            <v>결재</v>
          </cell>
          <cell r="Z56" t="str">
            <v>작성</v>
          </cell>
          <cell r="AA56" t="str">
            <v xml:space="preserve">검토 </v>
          </cell>
          <cell r="AB56" t="str">
            <v>검토</v>
          </cell>
          <cell r="AC56" t="str">
            <v>검토</v>
          </cell>
          <cell r="AD56" t="str">
            <v>승인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-3직접"/>
      <sheetName val="사업지침"/>
      <sheetName val="4직접"/>
      <sheetName val="5직접"/>
      <sheetName val="6직접"/>
      <sheetName val="첨부1"/>
      <sheetName val="PROJ2"/>
      <sheetName val="기술본부부하표2001-2003"/>
      <sheetName val="2003년"/>
      <sheetName val="2003년_사업계획용"/>
      <sheetName val="2003년_CAD미적용"/>
      <sheetName val="설계용역"/>
      <sheetName val="R2 대비 시수변경내역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생관정보"/>
      <sheetName val="생산량"/>
      <sheetName val="시수"/>
      <sheetName val="생산량(누계)"/>
      <sheetName val="시수(누계)"/>
      <sheetName val="가공량"/>
      <sheetName val="조립실적"/>
      <sheetName val="조립1부실적"/>
      <sheetName val="조립1부실적 (1)"/>
      <sheetName val="조립2부실적"/>
      <sheetName val="조립3부실적"/>
      <sheetName val="협력회사실적"/>
      <sheetName val="협력회사실적 (2)"/>
      <sheetName val="협력시수"/>
      <sheetName val="원가"/>
      <sheetName val="생관통보"/>
      <sheetName val="4073시수"/>
      <sheetName val="1140시수"/>
      <sheetName val="Hull No. 2223 Box Schedule (확정)"/>
      <sheetName val="세목별"/>
      <sheetName val="c.s"/>
      <sheetName val="년간계획"/>
      <sheetName val="TOTAL"/>
      <sheetName val="사외배관"/>
      <sheetName val="MON9801"/>
      <sheetName val="MOTOR"/>
      <sheetName val="견적과실행예산"/>
      <sheetName val="98년매출액및매출원가"/>
      <sheetName val="손익계산서(가로)"/>
      <sheetName val="호봉표변경전"/>
      <sheetName val="절연두께"/>
      <sheetName val="DATA(92-3)"/>
      <sheetName val="#REF"/>
      <sheetName val="690V Motor"/>
      <sheetName val="VDrop"/>
      <sheetName val="요율"/>
      <sheetName val="일일총괄"/>
      <sheetName val="Exec Summ"/>
      <sheetName val="Item Listings"/>
      <sheetName val="Wt Rpt"/>
      <sheetName val="인건비"/>
      <sheetName val="P계"/>
      <sheetName val="주간Mecom"/>
      <sheetName val="투자진행현항"/>
      <sheetName val="5직접"/>
      <sheetName val="CT사내"/>
      <sheetName val="실행품의서"/>
      <sheetName val="전체 현황"/>
      <sheetName val="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업정보"/>
      <sheetName val="4309"/>
      <sheetName val="4310"/>
      <sheetName val="기타"/>
      <sheetName val="데이터"/>
      <sheetName val="3월 31일 진교"/>
    </sheetNames>
    <sheetDataSet>
      <sheetData sheetId="0"/>
      <sheetData sheetId="1"/>
      <sheetData sheetId="2"/>
      <sheetData sheetId="3"/>
      <sheetData sheetId="4">
        <row r="2">
          <cell r="M2" t="str">
            <v>4310강재</v>
          </cell>
        </row>
        <row r="4">
          <cell r="N4" t="str">
            <v>값</v>
          </cell>
        </row>
        <row r="5">
          <cell r="M5" t="str">
            <v>행 레이블</v>
          </cell>
          <cell r="N5" t="str">
            <v>합계 : 수량</v>
          </cell>
          <cell r="O5" t="str">
            <v>합계 : 출고</v>
          </cell>
        </row>
        <row r="6">
          <cell r="M6" t="str">
            <v>4310ABSA1015248500</v>
          </cell>
          <cell r="N6">
            <v>1</v>
          </cell>
          <cell r="O6">
            <v>0</v>
          </cell>
        </row>
        <row r="7">
          <cell r="M7" t="str">
            <v>4310ABSA1026007800</v>
          </cell>
          <cell r="N7">
            <v>1</v>
          </cell>
          <cell r="O7">
            <v>0</v>
          </cell>
        </row>
        <row r="8">
          <cell r="M8" t="str">
            <v>4310ABSA12182910000</v>
          </cell>
          <cell r="N8">
            <v>1</v>
          </cell>
          <cell r="O8">
            <v>0</v>
          </cell>
        </row>
        <row r="9">
          <cell r="M9" t="str">
            <v>4310ABSA1220109270</v>
          </cell>
          <cell r="N9">
            <v>1</v>
          </cell>
          <cell r="O9">
            <v>0</v>
          </cell>
        </row>
        <row r="10">
          <cell r="M10" t="str">
            <v>4310ABSA1224009990</v>
          </cell>
          <cell r="N10">
            <v>1</v>
          </cell>
          <cell r="O10">
            <v>0</v>
          </cell>
        </row>
        <row r="11">
          <cell r="M11" t="str">
            <v>4310ABSA1224388270</v>
          </cell>
          <cell r="N11">
            <v>1</v>
          </cell>
          <cell r="O11">
            <v>0</v>
          </cell>
        </row>
        <row r="12">
          <cell r="M12" t="str">
            <v>4310ABSA1419005390</v>
          </cell>
          <cell r="N12">
            <v>1</v>
          </cell>
          <cell r="O12">
            <v>0</v>
          </cell>
        </row>
        <row r="13">
          <cell r="M13" t="str">
            <v>4310ABSA15182910000</v>
          </cell>
          <cell r="N13">
            <v>1</v>
          </cell>
          <cell r="O13">
            <v>0</v>
          </cell>
        </row>
        <row r="14">
          <cell r="M14" t="str">
            <v>4310ABSA1518297920</v>
          </cell>
          <cell r="N14">
            <v>1</v>
          </cell>
          <cell r="O14">
            <v>0</v>
          </cell>
        </row>
        <row r="15">
          <cell r="M15" t="str">
            <v>4310ABSA6171010670</v>
          </cell>
          <cell r="N15">
            <v>1</v>
          </cell>
          <cell r="O15">
            <v>0</v>
          </cell>
        </row>
        <row r="16">
          <cell r="M16" t="str">
            <v>4310ABSA6171011690</v>
          </cell>
          <cell r="N16">
            <v>1</v>
          </cell>
          <cell r="O16">
            <v>0</v>
          </cell>
        </row>
        <row r="17">
          <cell r="M17" t="str">
            <v>4310ABSA6171011840</v>
          </cell>
          <cell r="N17">
            <v>2</v>
          </cell>
          <cell r="O17">
            <v>0</v>
          </cell>
        </row>
        <row r="18">
          <cell r="M18" t="str">
            <v>4310ABSA6182910670</v>
          </cell>
          <cell r="N18">
            <v>2</v>
          </cell>
          <cell r="O18">
            <v>0</v>
          </cell>
        </row>
        <row r="19">
          <cell r="M19" t="str">
            <v>4310ABSA6182911690</v>
          </cell>
          <cell r="N19">
            <v>2</v>
          </cell>
          <cell r="O19">
            <v>0</v>
          </cell>
        </row>
        <row r="20">
          <cell r="M20" t="str">
            <v>4310ABSA618299500</v>
          </cell>
          <cell r="N20">
            <v>1</v>
          </cell>
          <cell r="O20">
            <v>0</v>
          </cell>
        </row>
        <row r="21">
          <cell r="M21" t="str">
            <v>4310ABSA6193010670</v>
          </cell>
          <cell r="N21">
            <v>1</v>
          </cell>
          <cell r="O21">
            <v>0</v>
          </cell>
        </row>
        <row r="22">
          <cell r="M22" t="str">
            <v>4310ABSA6193011680</v>
          </cell>
          <cell r="N22">
            <v>1</v>
          </cell>
          <cell r="O22">
            <v>0</v>
          </cell>
        </row>
        <row r="23">
          <cell r="M23" t="str">
            <v>4310ABSA6255010670</v>
          </cell>
          <cell r="N23">
            <v>12</v>
          </cell>
          <cell r="O23">
            <v>0</v>
          </cell>
        </row>
        <row r="24">
          <cell r="M24" t="str">
            <v>4310ABSA6255011550</v>
          </cell>
          <cell r="N24">
            <v>12</v>
          </cell>
          <cell r="O24">
            <v>0</v>
          </cell>
        </row>
        <row r="25">
          <cell r="M25" t="str">
            <v>4310ABSA6255011690</v>
          </cell>
          <cell r="N25">
            <v>25</v>
          </cell>
          <cell r="O25">
            <v>0</v>
          </cell>
        </row>
        <row r="26">
          <cell r="M26" t="str">
            <v>4310ABSA6255011840</v>
          </cell>
          <cell r="N26">
            <v>12</v>
          </cell>
          <cell r="O26">
            <v>0</v>
          </cell>
        </row>
        <row r="27">
          <cell r="M27" t="str">
            <v>4310ABSA6255011870</v>
          </cell>
          <cell r="N27">
            <v>2</v>
          </cell>
          <cell r="O27">
            <v>0</v>
          </cell>
        </row>
        <row r="28">
          <cell r="M28" t="str">
            <v>4310ABSA6256011680</v>
          </cell>
          <cell r="N28">
            <v>1</v>
          </cell>
          <cell r="O28">
            <v>0</v>
          </cell>
        </row>
        <row r="29">
          <cell r="M29" t="str">
            <v>4310ABSA6271011690</v>
          </cell>
          <cell r="N29">
            <v>2</v>
          </cell>
          <cell r="O29">
            <v>0</v>
          </cell>
        </row>
        <row r="30">
          <cell r="M30" t="str">
            <v>4310ABSA6271011840</v>
          </cell>
          <cell r="N30">
            <v>2</v>
          </cell>
          <cell r="O30">
            <v>0</v>
          </cell>
        </row>
        <row r="31">
          <cell r="M31" t="str">
            <v>4310ABSA6289011690</v>
          </cell>
          <cell r="N31">
            <v>1</v>
          </cell>
          <cell r="O31">
            <v>0</v>
          </cell>
        </row>
        <row r="32">
          <cell r="M32" t="str">
            <v>4310ABSA6289011840</v>
          </cell>
          <cell r="N32">
            <v>1</v>
          </cell>
          <cell r="O32">
            <v>0</v>
          </cell>
        </row>
        <row r="33">
          <cell r="M33" t="str">
            <v>4310ABSA8205010680</v>
          </cell>
          <cell r="N33">
            <v>1</v>
          </cell>
          <cell r="O33">
            <v>0</v>
          </cell>
        </row>
        <row r="34">
          <cell r="M34" t="str">
            <v>4310ABSA8212010680</v>
          </cell>
          <cell r="N34">
            <v>1</v>
          </cell>
          <cell r="O34">
            <v>0</v>
          </cell>
        </row>
        <row r="35">
          <cell r="M35" t="str">
            <v>4310ABSA8212011550</v>
          </cell>
          <cell r="N35">
            <v>1</v>
          </cell>
          <cell r="O35">
            <v>0</v>
          </cell>
        </row>
        <row r="36">
          <cell r="M36" t="str">
            <v>4310ABSA8212011690</v>
          </cell>
          <cell r="N36">
            <v>1</v>
          </cell>
          <cell r="O36">
            <v>0</v>
          </cell>
        </row>
        <row r="37">
          <cell r="M37" t="str">
            <v>4310ABSA8212011840</v>
          </cell>
          <cell r="N37">
            <v>1</v>
          </cell>
          <cell r="O37">
            <v>0</v>
          </cell>
        </row>
        <row r="38">
          <cell r="M38" t="str">
            <v>4310ABSA8212012320</v>
          </cell>
          <cell r="N38">
            <v>1</v>
          </cell>
          <cell r="O38">
            <v>0</v>
          </cell>
        </row>
        <row r="39">
          <cell r="M39" t="str">
            <v>4310ABSA8216011680</v>
          </cell>
          <cell r="N39">
            <v>1</v>
          </cell>
          <cell r="O39">
            <v>0</v>
          </cell>
        </row>
        <row r="40">
          <cell r="M40" t="str">
            <v>4310ABSA8216011690</v>
          </cell>
          <cell r="N40">
            <v>1</v>
          </cell>
          <cell r="O40">
            <v>0</v>
          </cell>
        </row>
        <row r="41">
          <cell r="M41" t="str">
            <v>4310ABSA8216011840</v>
          </cell>
          <cell r="N41">
            <v>2</v>
          </cell>
          <cell r="O41">
            <v>0</v>
          </cell>
        </row>
        <row r="42">
          <cell r="M42" t="str">
            <v>4310ABSA8216012320</v>
          </cell>
          <cell r="N42">
            <v>1</v>
          </cell>
          <cell r="O42">
            <v>0</v>
          </cell>
        </row>
        <row r="43">
          <cell r="M43" t="str">
            <v>4310ABSA821609360</v>
          </cell>
          <cell r="N43">
            <v>1</v>
          </cell>
          <cell r="O43">
            <v>0</v>
          </cell>
        </row>
        <row r="44">
          <cell r="M44" t="str">
            <v>4310ABSA824386096</v>
          </cell>
          <cell r="N44">
            <v>1</v>
          </cell>
          <cell r="O44">
            <v>0</v>
          </cell>
        </row>
        <row r="45">
          <cell r="M45" t="str">
            <v>4310ABSA8255010100</v>
          </cell>
          <cell r="N45">
            <v>1</v>
          </cell>
          <cell r="O45">
            <v>0</v>
          </cell>
        </row>
        <row r="46">
          <cell r="M46" t="str">
            <v>4310ABSA8255010340</v>
          </cell>
          <cell r="N46">
            <v>1</v>
          </cell>
          <cell r="O46">
            <v>0</v>
          </cell>
        </row>
        <row r="47">
          <cell r="M47" t="str">
            <v>4310ABSA8255010670</v>
          </cell>
          <cell r="N47">
            <v>1</v>
          </cell>
          <cell r="O47">
            <v>0</v>
          </cell>
        </row>
        <row r="48">
          <cell r="M48" t="str">
            <v>4310ABSA8255010740</v>
          </cell>
          <cell r="N48">
            <v>1</v>
          </cell>
          <cell r="O48">
            <v>0</v>
          </cell>
        </row>
        <row r="49">
          <cell r="M49" t="str">
            <v>4310ABSA8255011020</v>
          </cell>
          <cell r="N49">
            <v>2</v>
          </cell>
          <cell r="O49">
            <v>0</v>
          </cell>
        </row>
        <row r="50">
          <cell r="M50" t="str">
            <v>4310ABSA8255011030</v>
          </cell>
          <cell r="N50">
            <v>1</v>
          </cell>
          <cell r="O50">
            <v>0</v>
          </cell>
        </row>
        <row r="51">
          <cell r="M51" t="str">
            <v>4310ABSA8255011070</v>
          </cell>
          <cell r="N51">
            <v>1</v>
          </cell>
          <cell r="O51">
            <v>0</v>
          </cell>
        </row>
        <row r="52">
          <cell r="M52" t="str">
            <v>4310ABSA8255011080</v>
          </cell>
          <cell r="N52">
            <v>2</v>
          </cell>
          <cell r="O52">
            <v>0</v>
          </cell>
        </row>
        <row r="53">
          <cell r="M53" t="str">
            <v>4310ABSA8255011140</v>
          </cell>
          <cell r="N53">
            <v>1</v>
          </cell>
          <cell r="O53">
            <v>0</v>
          </cell>
        </row>
        <row r="54">
          <cell r="M54" t="str">
            <v>4310ABSA8255011160</v>
          </cell>
          <cell r="N54">
            <v>1</v>
          </cell>
          <cell r="O54">
            <v>0</v>
          </cell>
        </row>
        <row r="55">
          <cell r="M55" t="str">
            <v>4310ABSA8255011180</v>
          </cell>
          <cell r="N55">
            <v>1</v>
          </cell>
          <cell r="O55">
            <v>0</v>
          </cell>
        </row>
        <row r="56">
          <cell r="M56" t="str">
            <v>4310ABSA8255011270</v>
          </cell>
          <cell r="N56">
            <v>1</v>
          </cell>
          <cell r="O56">
            <v>0</v>
          </cell>
        </row>
        <row r="57">
          <cell r="M57" t="str">
            <v>4310ABSA8255011330</v>
          </cell>
          <cell r="N57">
            <v>1</v>
          </cell>
          <cell r="O57">
            <v>0</v>
          </cell>
        </row>
        <row r="58">
          <cell r="M58" t="str">
            <v>4310ABSA8255011460</v>
          </cell>
          <cell r="N58">
            <v>1</v>
          </cell>
          <cell r="O58">
            <v>0</v>
          </cell>
        </row>
        <row r="59">
          <cell r="M59" t="str">
            <v>4310ABSA8255011550</v>
          </cell>
          <cell r="N59">
            <v>1</v>
          </cell>
          <cell r="O59">
            <v>0</v>
          </cell>
        </row>
        <row r="60">
          <cell r="M60" t="str">
            <v>4310ABSA8255011620</v>
          </cell>
          <cell r="N60">
            <v>1</v>
          </cell>
          <cell r="O60">
            <v>0</v>
          </cell>
        </row>
        <row r="61">
          <cell r="M61" t="str">
            <v>4310ABSA8255011820</v>
          </cell>
          <cell r="N61">
            <v>1</v>
          </cell>
          <cell r="O61">
            <v>0</v>
          </cell>
        </row>
        <row r="62">
          <cell r="M62" t="str">
            <v>4310ABSA8255011840</v>
          </cell>
          <cell r="N62">
            <v>4</v>
          </cell>
          <cell r="O62">
            <v>0</v>
          </cell>
        </row>
        <row r="63">
          <cell r="M63" t="str">
            <v>4310ABSA8255011870</v>
          </cell>
          <cell r="N63">
            <v>2</v>
          </cell>
          <cell r="O63">
            <v>0</v>
          </cell>
        </row>
        <row r="64">
          <cell r="M64" t="str">
            <v>4310ABSA825508140</v>
          </cell>
          <cell r="N64">
            <v>1</v>
          </cell>
          <cell r="O64">
            <v>0</v>
          </cell>
        </row>
        <row r="65">
          <cell r="M65" t="str">
            <v>4310ABSA825508150</v>
          </cell>
          <cell r="N65">
            <v>1</v>
          </cell>
          <cell r="O65">
            <v>0</v>
          </cell>
        </row>
        <row r="66">
          <cell r="M66" t="str">
            <v>4310ABSA825508680</v>
          </cell>
          <cell r="N66">
            <v>2</v>
          </cell>
          <cell r="O66">
            <v>0</v>
          </cell>
        </row>
        <row r="67">
          <cell r="M67" t="str">
            <v>4310ABSA825508750</v>
          </cell>
          <cell r="N67">
            <v>1</v>
          </cell>
          <cell r="O67">
            <v>0</v>
          </cell>
        </row>
        <row r="68">
          <cell r="M68" t="str">
            <v>4310ABSA825509360</v>
          </cell>
          <cell r="N68">
            <v>2</v>
          </cell>
          <cell r="O68">
            <v>0</v>
          </cell>
        </row>
        <row r="69">
          <cell r="M69" t="str">
            <v>4310ABSA825509410</v>
          </cell>
          <cell r="N69">
            <v>1</v>
          </cell>
          <cell r="O69">
            <v>0</v>
          </cell>
        </row>
        <row r="70">
          <cell r="M70" t="str">
            <v>4310ABSA825509980</v>
          </cell>
          <cell r="N70">
            <v>1</v>
          </cell>
          <cell r="O70">
            <v>0</v>
          </cell>
        </row>
        <row r="71">
          <cell r="M71" t="str">
            <v>4310ABSA8270011020</v>
          </cell>
          <cell r="N71">
            <v>1</v>
          </cell>
          <cell r="O71">
            <v>0</v>
          </cell>
        </row>
        <row r="72">
          <cell r="M72" t="str">
            <v>4310ABSA8270011840</v>
          </cell>
          <cell r="N72">
            <v>1</v>
          </cell>
          <cell r="O72">
            <v>0</v>
          </cell>
        </row>
        <row r="73">
          <cell r="M73" t="str">
            <v>4310ABSA8288010680</v>
          </cell>
          <cell r="N73">
            <v>1</v>
          </cell>
          <cell r="O73">
            <v>0</v>
          </cell>
        </row>
        <row r="74">
          <cell r="M74" t="str">
            <v>4310ABSA8288011840</v>
          </cell>
          <cell r="N74">
            <v>1</v>
          </cell>
          <cell r="O74">
            <v>0</v>
          </cell>
        </row>
        <row r="75">
          <cell r="M75" t="str">
            <v>4310ABSA8290011020</v>
          </cell>
          <cell r="N75">
            <v>1</v>
          </cell>
          <cell r="O75">
            <v>0</v>
          </cell>
        </row>
        <row r="76">
          <cell r="M76" t="str">
            <v>4310ABSA8290011840</v>
          </cell>
          <cell r="N76">
            <v>2</v>
          </cell>
          <cell r="O76">
            <v>0</v>
          </cell>
        </row>
        <row r="77">
          <cell r="M77" t="str">
            <v>4310ABSAH3210227010100</v>
          </cell>
          <cell r="N77">
            <v>1</v>
          </cell>
          <cell r="O77">
            <v>0</v>
          </cell>
        </row>
        <row r="78">
          <cell r="M78" t="str">
            <v>4310ABSAH321022709700</v>
          </cell>
          <cell r="N78">
            <v>1</v>
          </cell>
          <cell r="O78">
            <v>0</v>
          </cell>
        </row>
        <row r="79">
          <cell r="M79" t="str">
            <v>4310ABSAH321024109040</v>
          </cell>
          <cell r="N79">
            <v>1</v>
          </cell>
          <cell r="O79">
            <v>0</v>
          </cell>
        </row>
        <row r="80">
          <cell r="M80" t="str">
            <v>4310ABSAH321024808200</v>
          </cell>
          <cell r="N80">
            <v>2</v>
          </cell>
          <cell r="O80">
            <v>0</v>
          </cell>
        </row>
        <row r="81">
          <cell r="M81" t="str">
            <v>4310ABSAH321024907620</v>
          </cell>
          <cell r="N81">
            <v>1</v>
          </cell>
          <cell r="O81">
            <v>0</v>
          </cell>
        </row>
        <row r="82">
          <cell r="M82" t="str">
            <v>4310ABSAH321024909650</v>
          </cell>
          <cell r="N82">
            <v>1</v>
          </cell>
          <cell r="O82">
            <v>0</v>
          </cell>
        </row>
        <row r="83">
          <cell r="M83" t="str">
            <v>4310ABSAH3210259010480</v>
          </cell>
          <cell r="N83">
            <v>1</v>
          </cell>
          <cell r="O83">
            <v>0</v>
          </cell>
        </row>
        <row r="84">
          <cell r="M84" t="str">
            <v>4310ABSAH321028709720</v>
          </cell>
          <cell r="N84">
            <v>1</v>
          </cell>
          <cell r="O84">
            <v>0</v>
          </cell>
        </row>
        <row r="85">
          <cell r="M85" t="str">
            <v>4310ABSAH3212182910090</v>
          </cell>
          <cell r="N85">
            <v>1</v>
          </cell>
          <cell r="O85">
            <v>0</v>
          </cell>
        </row>
        <row r="86">
          <cell r="M86" t="str">
            <v>4310ABSAH3212201010960</v>
          </cell>
          <cell r="N86">
            <v>2</v>
          </cell>
          <cell r="O86">
            <v>0</v>
          </cell>
        </row>
        <row r="87">
          <cell r="M87" t="str">
            <v>4310ABSAH321225908500</v>
          </cell>
          <cell r="N87">
            <v>1</v>
          </cell>
          <cell r="O87">
            <v>0</v>
          </cell>
        </row>
        <row r="88">
          <cell r="M88" t="str">
            <v>4310ABSAH3212261013620</v>
          </cell>
          <cell r="N88">
            <v>1</v>
          </cell>
          <cell r="O88">
            <v>0</v>
          </cell>
        </row>
        <row r="89">
          <cell r="M89" t="str">
            <v>4310ABSAH321420506750</v>
          </cell>
          <cell r="N89">
            <v>1</v>
          </cell>
          <cell r="O89">
            <v>0</v>
          </cell>
        </row>
        <row r="90">
          <cell r="M90" t="str">
            <v>4310ABSAH3214210014400</v>
          </cell>
          <cell r="N90">
            <v>1</v>
          </cell>
          <cell r="O90">
            <v>0</v>
          </cell>
        </row>
        <row r="91">
          <cell r="M91" t="str">
            <v>4310ABSAH3214210014500</v>
          </cell>
          <cell r="N91">
            <v>2</v>
          </cell>
          <cell r="O91">
            <v>0</v>
          </cell>
        </row>
        <row r="92">
          <cell r="M92" t="str">
            <v>4310ABSAH321519708100</v>
          </cell>
          <cell r="N92">
            <v>1</v>
          </cell>
          <cell r="O92">
            <v>0</v>
          </cell>
        </row>
        <row r="93">
          <cell r="M93" t="str">
            <v>4310ABSAH321519708470</v>
          </cell>
          <cell r="N93">
            <v>1</v>
          </cell>
          <cell r="O93">
            <v>0</v>
          </cell>
        </row>
        <row r="94">
          <cell r="M94" t="str">
            <v>4310ABSAH321521106110</v>
          </cell>
          <cell r="N94">
            <v>1</v>
          </cell>
          <cell r="O94">
            <v>0</v>
          </cell>
        </row>
        <row r="95">
          <cell r="M95" t="str">
            <v>4310ABSAH321522709250</v>
          </cell>
          <cell r="N95">
            <v>1</v>
          </cell>
          <cell r="O95">
            <v>0</v>
          </cell>
        </row>
        <row r="96">
          <cell r="M96" t="str">
            <v>4310ABSAH321522709300</v>
          </cell>
          <cell r="N96">
            <v>1</v>
          </cell>
          <cell r="O96">
            <v>0</v>
          </cell>
        </row>
        <row r="97">
          <cell r="M97" t="str">
            <v>4310ABSAH321523109900</v>
          </cell>
          <cell r="N97">
            <v>1</v>
          </cell>
          <cell r="O97">
            <v>0</v>
          </cell>
        </row>
        <row r="98">
          <cell r="M98" t="str">
            <v>4310ABSAH321524009020</v>
          </cell>
          <cell r="N98">
            <v>2</v>
          </cell>
          <cell r="O98">
            <v>0</v>
          </cell>
        </row>
        <row r="99">
          <cell r="M99" t="str">
            <v>4310ABSAH321524208330</v>
          </cell>
          <cell r="N99">
            <v>1</v>
          </cell>
          <cell r="O99">
            <v>0</v>
          </cell>
        </row>
        <row r="100">
          <cell r="M100" t="str">
            <v>4310ABSAH3215249010460</v>
          </cell>
          <cell r="N100">
            <v>1</v>
          </cell>
          <cell r="O100">
            <v>0</v>
          </cell>
        </row>
        <row r="101">
          <cell r="M101" t="str">
            <v>4310ABSAH3215259011130</v>
          </cell>
          <cell r="N101">
            <v>17</v>
          </cell>
          <cell r="O101">
            <v>0</v>
          </cell>
        </row>
        <row r="102">
          <cell r="M102" t="str">
            <v>4310ABSAH3215282011310</v>
          </cell>
          <cell r="N102">
            <v>2</v>
          </cell>
          <cell r="O102">
            <v>0</v>
          </cell>
        </row>
        <row r="103">
          <cell r="M103" t="str">
            <v>4310ABSAH3220152413800</v>
          </cell>
          <cell r="N103">
            <v>1</v>
          </cell>
          <cell r="O103">
            <v>0</v>
          </cell>
        </row>
        <row r="104">
          <cell r="M104" t="str">
            <v>4310ABSAH322018296700</v>
          </cell>
          <cell r="N104">
            <v>1</v>
          </cell>
          <cell r="O104">
            <v>0</v>
          </cell>
        </row>
        <row r="105">
          <cell r="M105" t="str">
            <v>4310ABSAH322018507650</v>
          </cell>
          <cell r="N105">
            <v>1</v>
          </cell>
          <cell r="O105">
            <v>0</v>
          </cell>
        </row>
        <row r="106">
          <cell r="M106" t="str">
            <v>4310ABSAH322018507950</v>
          </cell>
          <cell r="N106">
            <v>1</v>
          </cell>
          <cell r="O106">
            <v>0</v>
          </cell>
        </row>
        <row r="107">
          <cell r="M107" t="str">
            <v>4310ABSAH3220191011510</v>
          </cell>
          <cell r="N107">
            <v>1</v>
          </cell>
          <cell r="O107">
            <v>0</v>
          </cell>
        </row>
        <row r="108">
          <cell r="M108" t="str">
            <v>4310ABSAH322019207790</v>
          </cell>
          <cell r="N108">
            <v>1</v>
          </cell>
          <cell r="O108">
            <v>0</v>
          </cell>
        </row>
        <row r="109">
          <cell r="M109" t="str">
            <v>4310ABSAH3220230014120</v>
          </cell>
          <cell r="N109">
            <v>1</v>
          </cell>
          <cell r="O109">
            <v>0</v>
          </cell>
        </row>
        <row r="110">
          <cell r="M110" t="str">
            <v>4310ABSAH3220249010740</v>
          </cell>
          <cell r="N110">
            <v>1</v>
          </cell>
          <cell r="O110">
            <v>0</v>
          </cell>
        </row>
        <row r="111">
          <cell r="M111" t="str">
            <v>4310ABSAH3220284010500</v>
          </cell>
          <cell r="N111">
            <v>1</v>
          </cell>
          <cell r="O111">
            <v>0</v>
          </cell>
        </row>
        <row r="112">
          <cell r="M112" t="str">
            <v>4310ABSAH322028809480</v>
          </cell>
          <cell r="N112">
            <v>1</v>
          </cell>
          <cell r="O112">
            <v>0</v>
          </cell>
        </row>
        <row r="113">
          <cell r="M113" t="str">
            <v>4310ABSAH322028908060</v>
          </cell>
          <cell r="N113">
            <v>1</v>
          </cell>
          <cell r="O113">
            <v>0</v>
          </cell>
        </row>
        <row r="114">
          <cell r="M114" t="str">
            <v>4310ABSAH3220296010030</v>
          </cell>
          <cell r="N114">
            <v>5</v>
          </cell>
          <cell r="O114">
            <v>0</v>
          </cell>
        </row>
        <row r="115">
          <cell r="M115" t="str">
            <v>4310ABSAH3220296010080</v>
          </cell>
          <cell r="N115">
            <v>3</v>
          </cell>
          <cell r="O115">
            <v>0</v>
          </cell>
        </row>
        <row r="116">
          <cell r="M116" t="str">
            <v>4310ABSAH3220296010200</v>
          </cell>
          <cell r="N116">
            <v>2</v>
          </cell>
          <cell r="O116">
            <v>0</v>
          </cell>
        </row>
        <row r="117">
          <cell r="M117" t="str">
            <v>4310ABSAH3225167010400</v>
          </cell>
          <cell r="N117">
            <v>1</v>
          </cell>
          <cell r="O117">
            <v>0</v>
          </cell>
        </row>
        <row r="118">
          <cell r="M118" t="str">
            <v>4310ABSAH3225167011310</v>
          </cell>
          <cell r="N118">
            <v>1</v>
          </cell>
          <cell r="O118">
            <v>0</v>
          </cell>
        </row>
        <row r="119">
          <cell r="M119" t="str">
            <v>4310ABSAH3225182912510</v>
          </cell>
          <cell r="N119">
            <v>1</v>
          </cell>
          <cell r="O119">
            <v>0</v>
          </cell>
        </row>
        <row r="120">
          <cell r="M120" t="str">
            <v>4310ABSAH3225190012010</v>
          </cell>
          <cell r="N120">
            <v>1</v>
          </cell>
          <cell r="O120">
            <v>0</v>
          </cell>
        </row>
        <row r="121">
          <cell r="M121" t="str">
            <v>4310ABSAH3225190012130</v>
          </cell>
          <cell r="N121">
            <v>1</v>
          </cell>
          <cell r="O121">
            <v>0</v>
          </cell>
        </row>
        <row r="122">
          <cell r="M122" t="str">
            <v>4310ABSAH322519006770</v>
          </cell>
          <cell r="N122">
            <v>1</v>
          </cell>
          <cell r="O122">
            <v>0</v>
          </cell>
        </row>
        <row r="123">
          <cell r="M123" t="str">
            <v>4310ABSAH322519008950</v>
          </cell>
          <cell r="N123">
            <v>1</v>
          </cell>
          <cell r="O123">
            <v>0</v>
          </cell>
        </row>
        <row r="124">
          <cell r="M124" t="str">
            <v>4310ABSAH322519108760</v>
          </cell>
          <cell r="N124">
            <v>1</v>
          </cell>
          <cell r="O124">
            <v>0</v>
          </cell>
        </row>
        <row r="125">
          <cell r="M125" t="str">
            <v>4310ABSAH322520209730</v>
          </cell>
          <cell r="N125">
            <v>1</v>
          </cell>
          <cell r="O125">
            <v>0</v>
          </cell>
        </row>
        <row r="126">
          <cell r="M126" t="str">
            <v>4310ABSAH322523808760</v>
          </cell>
          <cell r="N126">
            <v>18</v>
          </cell>
          <cell r="O126">
            <v>0</v>
          </cell>
        </row>
        <row r="127">
          <cell r="M127" t="str">
            <v>4310ABSAH322525206060</v>
          </cell>
          <cell r="N127">
            <v>1</v>
          </cell>
          <cell r="O127">
            <v>0</v>
          </cell>
        </row>
        <row r="128">
          <cell r="M128" t="str">
            <v>4310ABSAH322525207130</v>
          </cell>
          <cell r="N128">
            <v>10</v>
          </cell>
          <cell r="O128">
            <v>0</v>
          </cell>
        </row>
        <row r="129">
          <cell r="M129" t="str">
            <v>4310ABSAH322525408780</v>
          </cell>
          <cell r="N129">
            <v>1</v>
          </cell>
          <cell r="O129">
            <v>0</v>
          </cell>
        </row>
        <row r="130">
          <cell r="M130" t="str">
            <v>4310ABSAH322525507160</v>
          </cell>
          <cell r="N130">
            <v>3</v>
          </cell>
          <cell r="O130">
            <v>0</v>
          </cell>
        </row>
        <row r="131">
          <cell r="M131" t="str">
            <v>4310ABSAH322526709980</v>
          </cell>
          <cell r="N131">
            <v>1</v>
          </cell>
          <cell r="O131">
            <v>0</v>
          </cell>
        </row>
        <row r="132">
          <cell r="M132" t="str">
            <v>4310ABSAH328167010540</v>
          </cell>
          <cell r="N132">
            <v>19</v>
          </cell>
          <cell r="O132">
            <v>0</v>
          </cell>
        </row>
        <row r="133">
          <cell r="M133" t="str">
            <v>4310ABSAH328172010540</v>
          </cell>
          <cell r="N133">
            <v>2</v>
          </cell>
          <cell r="O133">
            <v>0</v>
          </cell>
        </row>
        <row r="134">
          <cell r="M134" t="str">
            <v>4310ABSAH32817207580</v>
          </cell>
          <cell r="N134">
            <v>2</v>
          </cell>
          <cell r="O134">
            <v>0</v>
          </cell>
        </row>
        <row r="135">
          <cell r="M135" t="str">
            <v>4310ABSAH328189010540</v>
          </cell>
          <cell r="N135">
            <v>1</v>
          </cell>
          <cell r="O135">
            <v>0</v>
          </cell>
        </row>
        <row r="136">
          <cell r="M136" t="str">
            <v>4310ABSAH32818908040</v>
          </cell>
          <cell r="N136">
            <v>1</v>
          </cell>
          <cell r="O136">
            <v>0</v>
          </cell>
        </row>
        <row r="137">
          <cell r="M137" t="str">
            <v>4310ABSAH328213010540</v>
          </cell>
          <cell r="N137">
            <v>1</v>
          </cell>
          <cell r="O137">
            <v>0</v>
          </cell>
        </row>
        <row r="138">
          <cell r="M138" t="str">
            <v>4310ABSAH32828907460</v>
          </cell>
          <cell r="N138">
            <v>17</v>
          </cell>
          <cell r="O138">
            <v>0</v>
          </cell>
        </row>
        <row r="139">
          <cell r="M139" t="str">
            <v>4310ABSAH361022509330</v>
          </cell>
          <cell r="N139">
            <v>1</v>
          </cell>
          <cell r="O139">
            <v>0</v>
          </cell>
        </row>
        <row r="140">
          <cell r="M140" t="str">
            <v>4310ABSAH3610228010810</v>
          </cell>
          <cell r="N140">
            <v>8</v>
          </cell>
          <cell r="O140">
            <v>0</v>
          </cell>
        </row>
        <row r="141">
          <cell r="M141" t="str">
            <v>4310ABSAH3610228012480</v>
          </cell>
          <cell r="N141">
            <v>5</v>
          </cell>
          <cell r="O141">
            <v>0</v>
          </cell>
        </row>
        <row r="142">
          <cell r="M142" t="str">
            <v>4310ABSAH361022807830</v>
          </cell>
          <cell r="N142">
            <v>4</v>
          </cell>
          <cell r="O142">
            <v>0</v>
          </cell>
        </row>
        <row r="143">
          <cell r="M143" t="str">
            <v>4310ABSAH361022809180</v>
          </cell>
          <cell r="N143">
            <v>72</v>
          </cell>
          <cell r="O143">
            <v>0</v>
          </cell>
        </row>
        <row r="144">
          <cell r="M144" t="str">
            <v>4310ABSAH361022809260</v>
          </cell>
          <cell r="N144">
            <v>8</v>
          </cell>
          <cell r="O144">
            <v>0</v>
          </cell>
        </row>
        <row r="145">
          <cell r="M145" t="str">
            <v>4310ABSAH3610250010120</v>
          </cell>
          <cell r="N145">
            <v>4</v>
          </cell>
          <cell r="O145">
            <v>0</v>
          </cell>
        </row>
        <row r="146">
          <cell r="M146" t="str">
            <v>4310ABSAH3610250010500</v>
          </cell>
          <cell r="N146">
            <v>1</v>
          </cell>
          <cell r="O146">
            <v>0</v>
          </cell>
        </row>
        <row r="147">
          <cell r="M147" t="str">
            <v>4310ABSAH3612248010150</v>
          </cell>
          <cell r="N147">
            <v>1</v>
          </cell>
          <cell r="O147">
            <v>0</v>
          </cell>
        </row>
        <row r="148">
          <cell r="M148" t="str">
            <v>4310ABSAH3612250010630</v>
          </cell>
          <cell r="N148">
            <v>1</v>
          </cell>
          <cell r="O148">
            <v>0</v>
          </cell>
        </row>
        <row r="149">
          <cell r="M149" t="str">
            <v>4310ABSAH3612250011300</v>
          </cell>
          <cell r="N149">
            <v>3</v>
          </cell>
          <cell r="O149">
            <v>0</v>
          </cell>
        </row>
        <row r="150">
          <cell r="M150" t="str">
            <v>4310ABSAH361225005000</v>
          </cell>
          <cell r="N150">
            <v>1</v>
          </cell>
          <cell r="O150">
            <v>0</v>
          </cell>
        </row>
        <row r="151">
          <cell r="M151" t="str">
            <v>4310ABSAH361225005670</v>
          </cell>
          <cell r="N151">
            <v>1</v>
          </cell>
          <cell r="O151">
            <v>0</v>
          </cell>
        </row>
        <row r="152">
          <cell r="M152" t="str">
            <v>4310ABSAH361225009900</v>
          </cell>
          <cell r="N152">
            <v>13</v>
          </cell>
          <cell r="O152">
            <v>0</v>
          </cell>
        </row>
        <row r="153">
          <cell r="M153" t="str">
            <v>4310ABSAH361522509050</v>
          </cell>
          <cell r="N153">
            <v>27</v>
          </cell>
          <cell r="O153">
            <v>0</v>
          </cell>
        </row>
        <row r="154">
          <cell r="M154" t="str">
            <v>4310ABSAH361625507780</v>
          </cell>
          <cell r="N154">
            <v>2</v>
          </cell>
          <cell r="O154">
            <v>0</v>
          </cell>
        </row>
        <row r="155">
          <cell r="M155" t="str">
            <v>4310ABSAH362022509050</v>
          </cell>
          <cell r="N155">
            <v>19</v>
          </cell>
          <cell r="O155">
            <v>0</v>
          </cell>
        </row>
        <row r="156">
          <cell r="M156" t="str">
            <v>4310ABSAH3624225011320</v>
          </cell>
          <cell r="N156">
            <v>2</v>
          </cell>
          <cell r="O156">
            <v>0</v>
          </cell>
        </row>
        <row r="157">
          <cell r="M157" t="str">
            <v>4310ABSAH362422509050</v>
          </cell>
          <cell r="N157">
            <v>8</v>
          </cell>
          <cell r="O157">
            <v>0</v>
          </cell>
        </row>
        <row r="158">
          <cell r="M158" t="str">
            <v>4310ABSAH368172010170</v>
          </cell>
          <cell r="N158">
            <v>1</v>
          </cell>
          <cell r="O158">
            <v>0</v>
          </cell>
        </row>
        <row r="159">
          <cell r="M159" t="str">
            <v>4310ABSAH36817208840</v>
          </cell>
          <cell r="N159">
            <v>8</v>
          </cell>
          <cell r="O159">
            <v>0</v>
          </cell>
        </row>
        <row r="160">
          <cell r="M160" t="str">
            <v>4310ABSAH36817209220</v>
          </cell>
          <cell r="N160">
            <v>4</v>
          </cell>
          <cell r="O160">
            <v>0</v>
          </cell>
        </row>
        <row r="161">
          <cell r="M161" t="str">
            <v>4310ABSAH368178010540</v>
          </cell>
          <cell r="N161">
            <v>2</v>
          </cell>
          <cell r="O161">
            <v>0</v>
          </cell>
        </row>
        <row r="162">
          <cell r="M162" t="str">
            <v>4310ABSAH368178011220</v>
          </cell>
          <cell r="N162">
            <v>1</v>
          </cell>
          <cell r="O162">
            <v>0</v>
          </cell>
        </row>
        <row r="163">
          <cell r="M163" t="str">
            <v>4310ABSAH368178012300</v>
          </cell>
          <cell r="N163">
            <v>1</v>
          </cell>
          <cell r="O163">
            <v>0</v>
          </cell>
        </row>
        <row r="164">
          <cell r="M164" t="str">
            <v>4310ABSAH36817809230</v>
          </cell>
          <cell r="N164">
            <v>2</v>
          </cell>
          <cell r="O164">
            <v>0</v>
          </cell>
        </row>
        <row r="165">
          <cell r="M165" t="str">
            <v>4310ABSAH36819708700</v>
          </cell>
          <cell r="N165">
            <v>1</v>
          </cell>
          <cell r="O165">
            <v>0</v>
          </cell>
        </row>
        <row r="166">
          <cell r="M166" t="str">
            <v>4310ABSAH368198010600</v>
          </cell>
          <cell r="N166">
            <v>3</v>
          </cell>
          <cell r="O166">
            <v>0</v>
          </cell>
        </row>
        <row r="167">
          <cell r="M167" t="str">
            <v>4310ABSAH368198010610</v>
          </cell>
          <cell r="N167">
            <v>8</v>
          </cell>
          <cell r="O167">
            <v>0</v>
          </cell>
        </row>
        <row r="168">
          <cell r="M168" t="str">
            <v>4310ABSAH368204010600</v>
          </cell>
          <cell r="N168">
            <v>1</v>
          </cell>
          <cell r="O168">
            <v>0</v>
          </cell>
        </row>
        <row r="169">
          <cell r="M169" t="str">
            <v>4310ABSAH368232010240</v>
          </cell>
          <cell r="N169">
            <v>1</v>
          </cell>
          <cell r="O169">
            <v>0</v>
          </cell>
        </row>
        <row r="170">
          <cell r="M170" t="str">
            <v>4310ABSAH36823207630</v>
          </cell>
          <cell r="N170">
            <v>1</v>
          </cell>
          <cell r="O170">
            <v>0</v>
          </cell>
        </row>
        <row r="171">
          <cell r="M171" t="str">
            <v>4310ABSAH368251010680</v>
          </cell>
          <cell r="N171">
            <v>1</v>
          </cell>
          <cell r="O171">
            <v>0</v>
          </cell>
        </row>
        <row r="172">
          <cell r="M172" t="str">
            <v>4310ABSAH368255010150</v>
          </cell>
          <cell r="N172">
            <v>1</v>
          </cell>
          <cell r="O172">
            <v>0</v>
          </cell>
        </row>
        <row r="173">
          <cell r="M173" t="str">
            <v>4310ABSAH368278010610</v>
          </cell>
          <cell r="N173">
            <v>1</v>
          </cell>
          <cell r="O173">
            <v>0</v>
          </cell>
        </row>
        <row r="174">
          <cell r="M174" t="str">
            <v>(비어 있음)</v>
          </cell>
        </row>
        <row r="175">
          <cell r="M175" t="str">
            <v>4310ABSA4518299650</v>
          </cell>
          <cell r="N175">
            <v>1</v>
          </cell>
          <cell r="O175">
            <v>0</v>
          </cell>
        </row>
        <row r="176">
          <cell r="M176" t="str">
            <v>4310ABSA615246096</v>
          </cell>
          <cell r="N176">
            <v>5</v>
          </cell>
          <cell r="O176">
            <v>0</v>
          </cell>
        </row>
        <row r="177">
          <cell r="M177" t="str">
            <v>4310ABSA618296096</v>
          </cell>
          <cell r="N177">
            <v>24</v>
          </cell>
          <cell r="O177">
            <v>0</v>
          </cell>
        </row>
        <row r="178">
          <cell r="M178" t="str">
            <v>4310ABSAH368222010430</v>
          </cell>
          <cell r="N178">
            <v>1</v>
          </cell>
          <cell r="O178">
            <v>0</v>
          </cell>
        </row>
        <row r="179">
          <cell r="M179" t="str">
            <v>4310ABSAH361022108170</v>
          </cell>
          <cell r="N179">
            <v>1</v>
          </cell>
          <cell r="O179">
            <v>0</v>
          </cell>
        </row>
        <row r="180">
          <cell r="M180" t="str">
            <v>총합계</v>
          </cell>
          <cell r="N180">
            <v>548</v>
          </cell>
          <cell r="O180">
            <v>0</v>
          </cell>
        </row>
      </sheetData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업정보"/>
      <sheetName val="4309"/>
      <sheetName val="4310"/>
      <sheetName val="4311"/>
      <sheetName val="산수비_2"/>
      <sheetName val="기타"/>
      <sheetName val="데이터"/>
      <sheetName val="5월 24일 진교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>
        <row r="2">
          <cell r="A2" t="str">
            <v>통합강재</v>
          </cell>
          <cell r="Q2" t="str">
            <v>4311강재</v>
          </cell>
        </row>
        <row r="4">
          <cell r="R4" t="str">
            <v>값</v>
          </cell>
        </row>
        <row r="5">
          <cell r="Q5" t="str">
            <v>행 레이블</v>
          </cell>
          <cell r="R5" t="str">
            <v>합계 : 수량</v>
          </cell>
          <cell r="S5" t="str">
            <v>합계 : 출고</v>
          </cell>
        </row>
        <row r="6">
          <cell r="Q6" t="str">
            <v>4311ABSA1015248500</v>
          </cell>
          <cell r="R6">
            <v>1</v>
          </cell>
          <cell r="S6">
            <v>0</v>
          </cell>
        </row>
        <row r="7">
          <cell r="Q7" t="str">
            <v>4311ABSA1026007800</v>
          </cell>
          <cell r="R7">
            <v>1</v>
          </cell>
          <cell r="S7">
            <v>0</v>
          </cell>
        </row>
        <row r="8">
          <cell r="Q8" t="str">
            <v>4311ABSA12182910000</v>
          </cell>
          <cell r="R8">
            <v>1</v>
          </cell>
          <cell r="S8">
            <v>0</v>
          </cell>
        </row>
        <row r="9">
          <cell r="Q9" t="str">
            <v>4311ABSA1220109270</v>
          </cell>
          <cell r="R9">
            <v>1</v>
          </cell>
          <cell r="S9">
            <v>0</v>
          </cell>
        </row>
        <row r="10">
          <cell r="Q10" t="str">
            <v>4311ABSA1224009990</v>
          </cell>
          <cell r="R10">
            <v>1</v>
          </cell>
          <cell r="S10">
            <v>0</v>
          </cell>
        </row>
        <row r="11">
          <cell r="Q11" t="str">
            <v>4311ABSA1224388270</v>
          </cell>
          <cell r="R11">
            <v>1</v>
          </cell>
          <cell r="S11">
            <v>0</v>
          </cell>
        </row>
        <row r="12">
          <cell r="Q12" t="str">
            <v>4311ABSA1419005390</v>
          </cell>
          <cell r="R12">
            <v>1</v>
          </cell>
          <cell r="S12">
            <v>0</v>
          </cell>
        </row>
        <row r="13">
          <cell r="Q13" t="str">
            <v>4311ABSA15182910000</v>
          </cell>
          <cell r="R13">
            <v>1</v>
          </cell>
          <cell r="S13">
            <v>0</v>
          </cell>
        </row>
        <row r="14">
          <cell r="Q14" t="str">
            <v>4311ABSA1518297920</v>
          </cell>
          <cell r="R14">
            <v>1</v>
          </cell>
          <cell r="S14">
            <v>0</v>
          </cell>
        </row>
        <row r="15">
          <cell r="Q15" t="str">
            <v>4311ABSA6171010670</v>
          </cell>
          <cell r="R15">
            <v>1</v>
          </cell>
          <cell r="S15">
            <v>0</v>
          </cell>
        </row>
        <row r="16">
          <cell r="Q16" t="str">
            <v>4311ABSA6171011690</v>
          </cell>
          <cell r="R16">
            <v>1</v>
          </cell>
          <cell r="S16">
            <v>0</v>
          </cell>
        </row>
        <row r="17">
          <cell r="Q17" t="str">
            <v>4311ABSA6171011840</v>
          </cell>
          <cell r="R17">
            <v>2</v>
          </cell>
          <cell r="S17">
            <v>0</v>
          </cell>
        </row>
        <row r="18">
          <cell r="Q18" t="str">
            <v>4311ABSA6182910670</v>
          </cell>
          <cell r="R18">
            <v>2</v>
          </cell>
          <cell r="S18">
            <v>0</v>
          </cell>
        </row>
        <row r="19">
          <cell r="Q19" t="str">
            <v>4311ABSA6182911690</v>
          </cell>
          <cell r="R19">
            <v>2</v>
          </cell>
          <cell r="S19">
            <v>0</v>
          </cell>
        </row>
        <row r="20">
          <cell r="Q20" t="str">
            <v>4311ABSA6193010670</v>
          </cell>
          <cell r="R20">
            <v>1</v>
          </cell>
          <cell r="S20">
            <v>0</v>
          </cell>
        </row>
        <row r="21">
          <cell r="Q21" t="str">
            <v>4311ABSA6193011680</v>
          </cell>
          <cell r="R21">
            <v>1</v>
          </cell>
          <cell r="S21">
            <v>0</v>
          </cell>
        </row>
        <row r="22">
          <cell r="Q22" t="str">
            <v>4311ABSA6255010670</v>
          </cell>
          <cell r="R22">
            <v>12</v>
          </cell>
          <cell r="S22">
            <v>0</v>
          </cell>
        </row>
        <row r="23">
          <cell r="Q23" t="str">
            <v>4311ABSA6255011550</v>
          </cell>
          <cell r="R23">
            <v>12</v>
          </cell>
          <cell r="S23">
            <v>0</v>
          </cell>
        </row>
        <row r="24">
          <cell r="Q24" t="str">
            <v>4311ABSA6255011690</v>
          </cell>
          <cell r="R24">
            <v>25</v>
          </cell>
          <cell r="S24">
            <v>0</v>
          </cell>
        </row>
        <row r="25">
          <cell r="Q25" t="str">
            <v>4311ABSA6255011840</v>
          </cell>
          <cell r="R25">
            <v>12</v>
          </cell>
          <cell r="S25">
            <v>0</v>
          </cell>
        </row>
        <row r="26">
          <cell r="Q26" t="str">
            <v>4311ABSA6255011870</v>
          </cell>
          <cell r="R26">
            <v>2</v>
          </cell>
          <cell r="S26">
            <v>0</v>
          </cell>
        </row>
        <row r="27">
          <cell r="Q27" t="str">
            <v>4311ABSA6256011680</v>
          </cell>
          <cell r="R27">
            <v>1</v>
          </cell>
          <cell r="S27">
            <v>0</v>
          </cell>
        </row>
        <row r="28">
          <cell r="Q28" t="str">
            <v>4311ABSA6271011690</v>
          </cell>
          <cell r="R28">
            <v>2</v>
          </cell>
          <cell r="S28">
            <v>0</v>
          </cell>
        </row>
        <row r="29">
          <cell r="Q29" t="str">
            <v>4311ABSA6271011840</v>
          </cell>
          <cell r="R29">
            <v>2</v>
          </cell>
          <cell r="S29">
            <v>0</v>
          </cell>
        </row>
        <row r="30">
          <cell r="Q30" t="str">
            <v>4311ABSA6289011690</v>
          </cell>
          <cell r="R30">
            <v>1</v>
          </cell>
          <cell r="S30">
            <v>0</v>
          </cell>
        </row>
        <row r="31">
          <cell r="Q31" t="str">
            <v>4311ABSA6289011840</v>
          </cell>
          <cell r="R31">
            <v>1</v>
          </cell>
          <cell r="S31">
            <v>0</v>
          </cell>
        </row>
        <row r="32">
          <cell r="Q32" t="str">
            <v>4311ABSA8205010680</v>
          </cell>
          <cell r="R32">
            <v>1</v>
          </cell>
          <cell r="S32">
            <v>0</v>
          </cell>
        </row>
        <row r="33">
          <cell r="Q33" t="str">
            <v>4311ABSA8212010680</v>
          </cell>
          <cell r="R33">
            <v>1</v>
          </cell>
          <cell r="S33">
            <v>0</v>
          </cell>
        </row>
        <row r="34">
          <cell r="Q34" t="str">
            <v>4311ABSA8212011550</v>
          </cell>
          <cell r="R34">
            <v>1</v>
          </cell>
          <cell r="S34">
            <v>0</v>
          </cell>
        </row>
        <row r="35">
          <cell r="Q35" t="str">
            <v>4311ABSA8212011690</v>
          </cell>
          <cell r="R35">
            <v>1</v>
          </cell>
          <cell r="S35">
            <v>0</v>
          </cell>
        </row>
        <row r="36">
          <cell r="Q36" t="str">
            <v>4311ABSA8212011840</v>
          </cell>
          <cell r="R36">
            <v>1</v>
          </cell>
          <cell r="S36">
            <v>0</v>
          </cell>
        </row>
        <row r="37">
          <cell r="Q37" t="str">
            <v>4311ABSA8212012320</v>
          </cell>
          <cell r="R37">
            <v>1</v>
          </cell>
          <cell r="S37">
            <v>0</v>
          </cell>
        </row>
        <row r="38">
          <cell r="Q38" t="str">
            <v>4311ABSA8216011680</v>
          </cell>
          <cell r="R38">
            <v>1</v>
          </cell>
          <cell r="S38">
            <v>0</v>
          </cell>
        </row>
        <row r="39">
          <cell r="Q39" t="str">
            <v>4311ABSA8216011690</v>
          </cell>
          <cell r="R39">
            <v>1</v>
          </cell>
          <cell r="S39">
            <v>0</v>
          </cell>
        </row>
        <row r="40">
          <cell r="Q40" t="str">
            <v>4311ABSA8216011840</v>
          </cell>
          <cell r="R40">
            <v>2</v>
          </cell>
          <cell r="S40">
            <v>0</v>
          </cell>
        </row>
        <row r="41">
          <cell r="Q41" t="str">
            <v>4311ABSA8216012320</v>
          </cell>
          <cell r="R41">
            <v>1</v>
          </cell>
          <cell r="S41">
            <v>0</v>
          </cell>
        </row>
        <row r="42">
          <cell r="Q42" t="str">
            <v>4311ABSA821609360</v>
          </cell>
          <cell r="R42">
            <v>1</v>
          </cell>
          <cell r="S42">
            <v>0</v>
          </cell>
        </row>
        <row r="43">
          <cell r="Q43" t="str">
            <v>4311ABSA824386096</v>
          </cell>
          <cell r="R43">
            <v>1</v>
          </cell>
          <cell r="S43">
            <v>0</v>
          </cell>
        </row>
        <row r="44">
          <cell r="Q44" t="str">
            <v>4311ABSA8255010100</v>
          </cell>
          <cell r="R44">
            <v>1</v>
          </cell>
          <cell r="S44">
            <v>0</v>
          </cell>
        </row>
        <row r="45">
          <cell r="Q45" t="str">
            <v>4311ABSA8255010340</v>
          </cell>
          <cell r="R45">
            <v>1</v>
          </cell>
          <cell r="S45">
            <v>0</v>
          </cell>
        </row>
        <row r="46">
          <cell r="Q46" t="str">
            <v>4311ABSA8255010670</v>
          </cell>
          <cell r="R46">
            <v>1</v>
          </cell>
          <cell r="S46">
            <v>0</v>
          </cell>
        </row>
        <row r="47">
          <cell r="Q47" t="str">
            <v>4311ABSA8255010740</v>
          </cell>
          <cell r="R47">
            <v>1</v>
          </cell>
          <cell r="S47">
            <v>0</v>
          </cell>
        </row>
        <row r="48">
          <cell r="Q48" t="str">
            <v>4311ABSA8255011020</v>
          </cell>
          <cell r="R48">
            <v>2</v>
          </cell>
          <cell r="S48">
            <v>0</v>
          </cell>
        </row>
        <row r="49">
          <cell r="Q49" t="str">
            <v>4311ABSA8255011030</v>
          </cell>
          <cell r="R49">
            <v>1</v>
          </cell>
          <cell r="S49">
            <v>0</v>
          </cell>
        </row>
        <row r="50">
          <cell r="Q50" t="str">
            <v>4311ABSA8255011070</v>
          </cell>
          <cell r="R50">
            <v>1</v>
          </cell>
          <cell r="S50">
            <v>0</v>
          </cell>
        </row>
        <row r="51">
          <cell r="Q51" t="str">
            <v>4311ABSA8255011080</v>
          </cell>
          <cell r="R51">
            <v>2</v>
          </cell>
          <cell r="S51">
            <v>0</v>
          </cell>
        </row>
        <row r="52">
          <cell r="Q52" t="str">
            <v>4311ABSA8255011140</v>
          </cell>
          <cell r="R52">
            <v>1</v>
          </cell>
          <cell r="S52">
            <v>0</v>
          </cell>
        </row>
        <row r="53">
          <cell r="Q53" t="str">
            <v>4311ABSA8255011160</v>
          </cell>
          <cell r="R53">
            <v>1</v>
          </cell>
          <cell r="S53">
            <v>0</v>
          </cell>
        </row>
        <row r="54">
          <cell r="Q54" t="str">
            <v>4311ABSA8255011180</v>
          </cell>
          <cell r="R54">
            <v>1</v>
          </cell>
          <cell r="S54">
            <v>0</v>
          </cell>
        </row>
        <row r="55">
          <cell r="Q55" t="str">
            <v>4311ABSA8255011270</v>
          </cell>
          <cell r="R55">
            <v>1</v>
          </cell>
          <cell r="S55">
            <v>0</v>
          </cell>
        </row>
        <row r="56">
          <cell r="Q56" t="str">
            <v>4311ABSA8255011330</v>
          </cell>
          <cell r="R56">
            <v>1</v>
          </cell>
          <cell r="S56">
            <v>0</v>
          </cell>
        </row>
        <row r="57">
          <cell r="Q57" t="str">
            <v>4311ABSA8255011460</v>
          </cell>
          <cell r="R57">
            <v>1</v>
          </cell>
          <cell r="S57">
            <v>0</v>
          </cell>
        </row>
        <row r="58">
          <cell r="Q58" t="str">
            <v>4311ABSA8255011550</v>
          </cell>
          <cell r="R58">
            <v>1</v>
          </cell>
          <cell r="S58">
            <v>0</v>
          </cell>
        </row>
        <row r="59">
          <cell r="Q59" t="str">
            <v>4311ABSA8255011620</v>
          </cell>
          <cell r="R59">
            <v>1</v>
          </cell>
          <cell r="S59">
            <v>0</v>
          </cell>
        </row>
        <row r="60">
          <cell r="Q60" t="str">
            <v>4311ABSA8255011820</v>
          </cell>
          <cell r="R60">
            <v>1</v>
          </cell>
          <cell r="S60">
            <v>0</v>
          </cell>
        </row>
        <row r="61">
          <cell r="Q61" t="str">
            <v>4311ABSA8255011840</v>
          </cell>
          <cell r="R61">
            <v>4</v>
          </cell>
          <cell r="S61">
            <v>0</v>
          </cell>
        </row>
        <row r="62">
          <cell r="Q62" t="str">
            <v>4311ABSA8255011870</v>
          </cell>
          <cell r="R62">
            <v>2</v>
          </cell>
          <cell r="S62">
            <v>0</v>
          </cell>
        </row>
        <row r="63">
          <cell r="Q63" t="str">
            <v>4311ABSA825508140</v>
          </cell>
          <cell r="R63">
            <v>1</v>
          </cell>
          <cell r="S63">
            <v>0</v>
          </cell>
        </row>
        <row r="64">
          <cell r="Q64" t="str">
            <v>4311ABSA825508150</v>
          </cell>
          <cell r="R64">
            <v>1</v>
          </cell>
          <cell r="S64">
            <v>0</v>
          </cell>
        </row>
        <row r="65">
          <cell r="Q65" t="str">
            <v>4311ABSA825508680</v>
          </cell>
          <cell r="R65">
            <v>2</v>
          </cell>
          <cell r="S65">
            <v>0</v>
          </cell>
        </row>
        <row r="66">
          <cell r="Q66" t="str">
            <v>4311ABSA825508750</v>
          </cell>
          <cell r="R66">
            <v>1</v>
          </cell>
          <cell r="S66">
            <v>0</v>
          </cell>
        </row>
        <row r="67">
          <cell r="Q67" t="str">
            <v>4311ABSA825509360</v>
          </cell>
          <cell r="R67">
            <v>2</v>
          </cell>
          <cell r="S67">
            <v>0</v>
          </cell>
        </row>
        <row r="68">
          <cell r="Q68" t="str">
            <v>4311ABSA825509410</v>
          </cell>
          <cell r="R68">
            <v>1</v>
          </cell>
          <cell r="S68">
            <v>0</v>
          </cell>
        </row>
        <row r="69">
          <cell r="Q69" t="str">
            <v>4311ABSA825509980</v>
          </cell>
          <cell r="R69">
            <v>1</v>
          </cell>
          <cell r="S69">
            <v>0</v>
          </cell>
        </row>
        <row r="70">
          <cell r="Q70" t="str">
            <v>4311ABSA8270011020</v>
          </cell>
          <cell r="R70">
            <v>1</v>
          </cell>
          <cell r="S70">
            <v>0</v>
          </cell>
        </row>
        <row r="71">
          <cell r="Q71" t="str">
            <v>4311ABSA8270011840</v>
          </cell>
          <cell r="R71">
            <v>1</v>
          </cell>
          <cell r="S71">
            <v>0</v>
          </cell>
        </row>
        <row r="72">
          <cell r="Q72" t="str">
            <v>4311ABSA8288010680</v>
          </cell>
          <cell r="R72">
            <v>1</v>
          </cell>
          <cell r="S72">
            <v>0</v>
          </cell>
        </row>
        <row r="73">
          <cell r="Q73" t="str">
            <v>4311ABSA8288011840</v>
          </cell>
          <cell r="R73">
            <v>1</v>
          </cell>
          <cell r="S73">
            <v>0</v>
          </cell>
        </row>
        <row r="74">
          <cell r="Q74" t="str">
            <v>4311ABSA8290011020</v>
          </cell>
          <cell r="R74">
            <v>1</v>
          </cell>
          <cell r="S74">
            <v>0</v>
          </cell>
        </row>
        <row r="75">
          <cell r="Q75" t="str">
            <v>4311ABSA8290011840</v>
          </cell>
          <cell r="R75">
            <v>2</v>
          </cell>
          <cell r="S75">
            <v>0</v>
          </cell>
        </row>
        <row r="76">
          <cell r="Q76" t="str">
            <v>4311ABSAH3210227010100</v>
          </cell>
          <cell r="R76">
            <v>1</v>
          </cell>
          <cell r="S76">
            <v>0</v>
          </cell>
        </row>
        <row r="77">
          <cell r="Q77" t="str">
            <v>4311ABSAH321022709700</v>
          </cell>
          <cell r="R77">
            <v>1</v>
          </cell>
          <cell r="S77">
            <v>0</v>
          </cell>
        </row>
        <row r="78">
          <cell r="Q78" t="str">
            <v>4311ABSAH321024109040</v>
          </cell>
          <cell r="R78">
            <v>1</v>
          </cell>
          <cell r="S78">
            <v>0</v>
          </cell>
        </row>
        <row r="79">
          <cell r="Q79" t="str">
            <v>4311ABSAH321024808200</v>
          </cell>
          <cell r="R79">
            <v>2</v>
          </cell>
          <cell r="S79">
            <v>0</v>
          </cell>
        </row>
        <row r="80">
          <cell r="Q80" t="str">
            <v>4311ABSAH321024907620</v>
          </cell>
          <cell r="R80">
            <v>1</v>
          </cell>
          <cell r="S80">
            <v>0</v>
          </cell>
        </row>
        <row r="81">
          <cell r="Q81" t="str">
            <v>4311ABSAH321024909650</v>
          </cell>
          <cell r="R81">
            <v>1</v>
          </cell>
          <cell r="S81">
            <v>0</v>
          </cell>
        </row>
        <row r="82">
          <cell r="Q82" t="str">
            <v>4311ABSAH3210259010480</v>
          </cell>
          <cell r="R82">
            <v>1</v>
          </cell>
          <cell r="S82">
            <v>0</v>
          </cell>
        </row>
        <row r="83">
          <cell r="Q83" t="str">
            <v>4311ABSAH321028709720</v>
          </cell>
          <cell r="R83">
            <v>1</v>
          </cell>
          <cell r="S83">
            <v>0</v>
          </cell>
        </row>
        <row r="84">
          <cell r="Q84" t="str">
            <v>4311ABSAH3212182910090</v>
          </cell>
          <cell r="R84">
            <v>1</v>
          </cell>
          <cell r="S84">
            <v>0</v>
          </cell>
        </row>
        <row r="85">
          <cell r="Q85" t="str">
            <v>4311ABSAH3212201010960</v>
          </cell>
          <cell r="R85">
            <v>2</v>
          </cell>
          <cell r="S85">
            <v>0</v>
          </cell>
        </row>
        <row r="86">
          <cell r="Q86" t="str">
            <v>4311ABSAH3212261013620</v>
          </cell>
          <cell r="R86">
            <v>1</v>
          </cell>
          <cell r="S86">
            <v>0</v>
          </cell>
        </row>
        <row r="87">
          <cell r="Q87" t="str">
            <v>4311ABSAH321420506750</v>
          </cell>
          <cell r="R87">
            <v>1</v>
          </cell>
          <cell r="S87">
            <v>0</v>
          </cell>
        </row>
        <row r="88">
          <cell r="Q88" t="str">
            <v>4311ABSAH3214210014500</v>
          </cell>
          <cell r="R88">
            <v>3</v>
          </cell>
          <cell r="S88">
            <v>0</v>
          </cell>
        </row>
        <row r="89">
          <cell r="Q89" t="str">
            <v>4311ABSAH321519708100</v>
          </cell>
          <cell r="R89">
            <v>1</v>
          </cell>
          <cell r="S89">
            <v>0</v>
          </cell>
        </row>
        <row r="90">
          <cell r="Q90" t="str">
            <v>4311ABSAH321519708470</v>
          </cell>
          <cell r="R90">
            <v>1</v>
          </cell>
          <cell r="S90">
            <v>0</v>
          </cell>
        </row>
        <row r="91">
          <cell r="Q91" t="str">
            <v>4311ABSAH321521106110</v>
          </cell>
          <cell r="R91">
            <v>1</v>
          </cell>
          <cell r="S91">
            <v>0</v>
          </cell>
        </row>
        <row r="92">
          <cell r="Q92" t="str">
            <v>4311ABSAH321522709250</v>
          </cell>
          <cell r="R92">
            <v>1</v>
          </cell>
          <cell r="S92">
            <v>0</v>
          </cell>
        </row>
        <row r="93">
          <cell r="Q93" t="str">
            <v>4311ABSAH321522709300</v>
          </cell>
          <cell r="R93">
            <v>1</v>
          </cell>
          <cell r="S93">
            <v>0</v>
          </cell>
        </row>
        <row r="94">
          <cell r="Q94" t="str">
            <v>4311ABSAH321523109900</v>
          </cell>
          <cell r="R94">
            <v>1</v>
          </cell>
          <cell r="S94">
            <v>0</v>
          </cell>
        </row>
        <row r="95">
          <cell r="Q95" t="str">
            <v>4311ABSAH321524009020</v>
          </cell>
          <cell r="R95">
            <v>2</v>
          </cell>
          <cell r="S95">
            <v>0</v>
          </cell>
        </row>
        <row r="96">
          <cell r="Q96" t="str">
            <v>4311ABSAH321524208330</v>
          </cell>
          <cell r="R96">
            <v>1</v>
          </cell>
          <cell r="S96">
            <v>0</v>
          </cell>
        </row>
        <row r="97">
          <cell r="Q97" t="str">
            <v>4311ABSAH3215249010460</v>
          </cell>
          <cell r="R97">
            <v>1</v>
          </cell>
          <cell r="S97">
            <v>0</v>
          </cell>
        </row>
        <row r="98">
          <cell r="Q98" t="str">
            <v>4311ABSAH3215259011130</v>
          </cell>
          <cell r="R98">
            <v>17</v>
          </cell>
          <cell r="S98">
            <v>0</v>
          </cell>
        </row>
        <row r="99">
          <cell r="Q99" t="str">
            <v>4311ABSAH3215282011310</v>
          </cell>
          <cell r="R99">
            <v>2</v>
          </cell>
          <cell r="S99">
            <v>0</v>
          </cell>
        </row>
        <row r="100">
          <cell r="Q100" t="str">
            <v>4311ABSAH3220152413800</v>
          </cell>
          <cell r="R100">
            <v>1</v>
          </cell>
          <cell r="S100">
            <v>0</v>
          </cell>
        </row>
        <row r="101">
          <cell r="Q101" t="str">
            <v>4311ABSAH322018296700</v>
          </cell>
          <cell r="R101">
            <v>1</v>
          </cell>
          <cell r="S101">
            <v>0</v>
          </cell>
        </row>
        <row r="102">
          <cell r="Q102" t="str">
            <v>4311ABSAH322018507650</v>
          </cell>
          <cell r="R102">
            <v>1</v>
          </cell>
          <cell r="S102">
            <v>0</v>
          </cell>
        </row>
        <row r="103">
          <cell r="Q103" t="str">
            <v>4311ABSAH322018507950</v>
          </cell>
          <cell r="R103">
            <v>1</v>
          </cell>
          <cell r="S103">
            <v>0</v>
          </cell>
        </row>
        <row r="104">
          <cell r="Q104" t="str">
            <v>4311ABSAH3220191011510</v>
          </cell>
          <cell r="R104">
            <v>1</v>
          </cell>
          <cell r="S104">
            <v>0</v>
          </cell>
        </row>
        <row r="105">
          <cell r="Q105" t="str">
            <v>4311ABSAH322019207790</v>
          </cell>
          <cell r="R105">
            <v>1</v>
          </cell>
          <cell r="S105">
            <v>0</v>
          </cell>
        </row>
        <row r="106">
          <cell r="Q106" t="str">
            <v>4311ABSAH3220230014120</v>
          </cell>
          <cell r="R106">
            <v>1</v>
          </cell>
          <cell r="S106">
            <v>0</v>
          </cell>
        </row>
        <row r="107">
          <cell r="Q107" t="str">
            <v>4311ABSAH3220249010740</v>
          </cell>
          <cell r="R107">
            <v>1</v>
          </cell>
          <cell r="S107">
            <v>0</v>
          </cell>
        </row>
        <row r="108">
          <cell r="Q108" t="str">
            <v>4311ABSAH3220284010500</v>
          </cell>
          <cell r="R108">
            <v>1</v>
          </cell>
          <cell r="S108">
            <v>0</v>
          </cell>
        </row>
        <row r="109">
          <cell r="Q109" t="str">
            <v>4311ABSAH322028809480</v>
          </cell>
          <cell r="R109">
            <v>1</v>
          </cell>
          <cell r="S109">
            <v>0</v>
          </cell>
        </row>
        <row r="110">
          <cell r="Q110" t="str">
            <v>4311ABSAH322028908060</v>
          </cell>
          <cell r="R110">
            <v>1</v>
          </cell>
          <cell r="S110">
            <v>0</v>
          </cell>
        </row>
        <row r="111">
          <cell r="Q111" t="str">
            <v>4311ABSAH3220296010030</v>
          </cell>
          <cell r="R111">
            <v>5</v>
          </cell>
          <cell r="S111">
            <v>0</v>
          </cell>
        </row>
        <row r="112">
          <cell r="Q112" t="str">
            <v>4311ABSAH3220296010080</v>
          </cell>
          <cell r="R112">
            <v>3</v>
          </cell>
          <cell r="S112">
            <v>0</v>
          </cell>
        </row>
        <row r="113">
          <cell r="Q113" t="str">
            <v>4311ABSAH3220296010200</v>
          </cell>
          <cell r="R113">
            <v>2</v>
          </cell>
          <cell r="S113">
            <v>0</v>
          </cell>
        </row>
        <row r="114">
          <cell r="Q114" t="str">
            <v>4311ABSAH3225167010400</v>
          </cell>
          <cell r="R114">
            <v>1</v>
          </cell>
          <cell r="S114">
            <v>0</v>
          </cell>
        </row>
        <row r="115">
          <cell r="Q115" t="str">
            <v>4311ABSAH3225167011310</v>
          </cell>
          <cell r="R115">
            <v>1</v>
          </cell>
          <cell r="S115">
            <v>0</v>
          </cell>
        </row>
        <row r="116">
          <cell r="Q116" t="str">
            <v>4311ABSAH3225182912510</v>
          </cell>
          <cell r="R116">
            <v>1</v>
          </cell>
          <cell r="S116">
            <v>0</v>
          </cell>
        </row>
        <row r="117">
          <cell r="Q117" t="str">
            <v>4311ABSAH3225190012010</v>
          </cell>
          <cell r="R117">
            <v>1</v>
          </cell>
          <cell r="S117">
            <v>0</v>
          </cell>
        </row>
        <row r="118">
          <cell r="Q118" t="str">
            <v>4311ABSAH3225190012130</v>
          </cell>
          <cell r="R118">
            <v>1</v>
          </cell>
          <cell r="S118">
            <v>0</v>
          </cell>
        </row>
        <row r="119">
          <cell r="Q119" t="str">
            <v>4311ABSAH322519006770</v>
          </cell>
          <cell r="R119">
            <v>1</v>
          </cell>
          <cell r="S119">
            <v>0</v>
          </cell>
        </row>
        <row r="120">
          <cell r="Q120" t="str">
            <v>4311ABSAH322519008950</v>
          </cell>
          <cell r="R120">
            <v>1</v>
          </cell>
          <cell r="S120">
            <v>0</v>
          </cell>
        </row>
        <row r="121">
          <cell r="Q121" t="str">
            <v>4311ABSAH322519108760</v>
          </cell>
          <cell r="R121">
            <v>1</v>
          </cell>
          <cell r="S121">
            <v>0</v>
          </cell>
        </row>
        <row r="122">
          <cell r="Q122" t="str">
            <v>4311ABSAH322520209730</v>
          </cell>
          <cell r="R122">
            <v>1</v>
          </cell>
          <cell r="S122">
            <v>0</v>
          </cell>
        </row>
        <row r="123">
          <cell r="Q123" t="str">
            <v>4311ABSAH322523808760</v>
          </cell>
          <cell r="R123">
            <v>18</v>
          </cell>
          <cell r="S123">
            <v>0</v>
          </cell>
        </row>
        <row r="124">
          <cell r="Q124" t="str">
            <v>4311ABSAH322525206060</v>
          </cell>
          <cell r="R124">
            <v>1</v>
          </cell>
          <cell r="S124">
            <v>0</v>
          </cell>
        </row>
        <row r="125">
          <cell r="Q125" t="str">
            <v>4311ABSAH322525207130</v>
          </cell>
          <cell r="R125">
            <v>10</v>
          </cell>
          <cell r="S125">
            <v>0</v>
          </cell>
        </row>
        <row r="126">
          <cell r="Q126" t="str">
            <v>4311ABSAH322525408780</v>
          </cell>
          <cell r="R126">
            <v>1</v>
          </cell>
          <cell r="S126">
            <v>0</v>
          </cell>
        </row>
        <row r="127">
          <cell r="Q127" t="str">
            <v>4311ABSAH322525507160</v>
          </cell>
          <cell r="R127">
            <v>3</v>
          </cell>
          <cell r="S127">
            <v>0</v>
          </cell>
        </row>
        <row r="128">
          <cell r="Q128" t="str">
            <v>4311ABSAH322526709980</v>
          </cell>
          <cell r="R128">
            <v>1</v>
          </cell>
          <cell r="S128">
            <v>0</v>
          </cell>
        </row>
        <row r="129">
          <cell r="Q129" t="str">
            <v>4311ABSAH328167010540</v>
          </cell>
          <cell r="R129">
            <v>19</v>
          </cell>
          <cell r="S129">
            <v>0</v>
          </cell>
        </row>
        <row r="130">
          <cell r="Q130" t="str">
            <v>4311ABSAH328172010540</v>
          </cell>
          <cell r="R130">
            <v>2</v>
          </cell>
          <cell r="S130">
            <v>0</v>
          </cell>
        </row>
        <row r="131">
          <cell r="Q131" t="str">
            <v>4311ABSAH32817207580</v>
          </cell>
          <cell r="R131">
            <v>2</v>
          </cell>
          <cell r="S131">
            <v>0</v>
          </cell>
        </row>
        <row r="132">
          <cell r="Q132" t="str">
            <v>4311ABSAH328189010540</v>
          </cell>
          <cell r="R132">
            <v>1</v>
          </cell>
          <cell r="S132">
            <v>0</v>
          </cell>
        </row>
        <row r="133">
          <cell r="Q133" t="str">
            <v>4311ABSAH32818908040</v>
          </cell>
          <cell r="R133">
            <v>1</v>
          </cell>
          <cell r="S133">
            <v>0</v>
          </cell>
        </row>
        <row r="134">
          <cell r="Q134" t="str">
            <v>4311ABSAH32820008950</v>
          </cell>
          <cell r="R134">
            <v>1</v>
          </cell>
          <cell r="S134">
            <v>0</v>
          </cell>
        </row>
        <row r="135">
          <cell r="Q135" t="str">
            <v>4311ABSAH328213010540</v>
          </cell>
          <cell r="R135">
            <v>1</v>
          </cell>
          <cell r="S135">
            <v>0</v>
          </cell>
        </row>
        <row r="136">
          <cell r="Q136" t="str">
            <v>4311ABSAH32828907460</v>
          </cell>
          <cell r="R136">
            <v>17</v>
          </cell>
          <cell r="S136">
            <v>0</v>
          </cell>
        </row>
        <row r="137">
          <cell r="Q137" t="str">
            <v>4311ABSAH361022509330</v>
          </cell>
          <cell r="R137">
            <v>1</v>
          </cell>
          <cell r="S137">
            <v>0</v>
          </cell>
        </row>
        <row r="138">
          <cell r="Q138" t="str">
            <v>4311ABSAH3610228010810</v>
          </cell>
          <cell r="R138">
            <v>8</v>
          </cell>
          <cell r="S138">
            <v>0</v>
          </cell>
        </row>
        <row r="139">
          <cell r="Q139" t="str">
            <v>4311ABSAH3610228012480</v>
          </cell>
          <cell r="R139">
            <v>5</v>
          </cell>
          <cell r="S139">
            <v>0</v>
          </cell>
        </row>
        <row r="140">
          <cell r="Q140" t="str">
            <v>4311ABSAH361022807830</v>
          </cell>
          <cell r="R140">
            <v>4</v>
          </cell>
          <cell r="S140">
            <v>0</v>
          </cell>
        </row>
        <row r="141">
          <cell r="Q141" t="str">
            <v>4311ABSAH361022809180</v>
          </cell>
          <cell r="R141">
            <v>72</v>
          </cell>
          <cell r="S141">
            <v>0</v>
          </cell>
        </row>
        <row r="142">
          <cell r="Q142" t="str">
            <v>4311ABSAH361022809260</v>
          </cell>
          <cell r="R142">
            <v>8</v>
          </cell>
          <cell r="S142">
            <v>0</v>
          </cell>
        </row>
        <row r="143">
          <cell r="Q143" t="str">
            <v>4311ABSAH3610250010120</v>
          </cell>
          <cell r="R143">
            <v>4</v>
          </cell>
          <cell r="S143">
            <v>0</v>
          </cell>
        </row>
        <row r="144">
          <cell r="Q144" t="str">
            <v>4311ABSAH3610250010500</v>
          </cell>
          <cell r="R144">
            <v>1</v>
          </cell>
          <cell r="S144">
            <v>0</v>
          </cell>
        </row>
        <row r="145">
          <cell r="Q145" t="str">
            <v>4311ABSAH3612248010150</v>
          </cell>
          <cell r="R145">
            <v>1</v>
          </cell>
          <cell r="S145">
            <v>0</v>
          </cell>
        </row>
        <row r="146">
          <cell r="Q146" t="str">
            <v>4311ABSAH3612250010630</v>
          </cell>
          <cell r="R146">
            <v>1</v>
          </cell>
          <cell r="S146">
            <v>0</v>
          </cell>
        </row>
        <row r="147">
          <cell r="Q147" t="str">
            <v>4311ABSAH3612250011300</v>
          </cell>
          <cell r="R147">
            <v>3</v>
          </cell>
          <cell r="S147">
            <v>0</v>
          </cell>
        </row>
        <row r="148">
          <cell r="Q148" t="str">
            <v>4311ABSAH361225005000</v>
          </cell>
          <cell r="R148">
            <v>1</v>
          </cell>
          <cell r="S148">
            <v>0</v>
          </cell>
        </row>
        <row r="149">
          <cell r="Q149" t="str">
            <v>4311ABSAH361225005670</v>
          </cell>
          <cell r="R149">
            <v>1</v>
          </cell>
          <cell r="S149">
            <v>0</v>
          </cell>
        </row>
        <row r="150">
          <cell r="Q150" t="str">
            <v>4311ABSAH361225009900</v>
          </cell>
          <cell r="R150">
            <v>13</v>
          </cell>
          <cell r="S150">
            <v>0</v>
          </cell>
        </row>
        <row r="151">
          <cell r="Q151" t="str">
            <v>4311ABSAH361522509050</v>
          </cell>
          <cell r="R151">
            <v>27</v>
          </cell>
          <cell r="S151">
            <v>0</v>
          </cell>
        </row>
        <row r="152">
          <cell r="Q152" t="str">
            <v>4311ABSAH361625507780</v>
          </cell>
          <cell r="R152">
            <v>2</v>
          </cell>
          <cell r="S152">
            <v>0</v>
          </cell>
        </row>
        <row r="153">
          <cell r="Q153" t="str">
            <v>4311ABSAH362022509050</v>
          </cell>
          <cell r="R153">
            <v>19</v>
          </cell>
          <cell r="S153">
            <v>0</v>
          </cell>
        </row>
        <row r="154">
          <cell r="Q154" t="str">
            <v>4311ABSAH3620281511320</v>
          </cell>
          <cell r="R154">
            <v>1</v>
          </cell>
          <cell r="S154">
            <v>0</v>
          </cell>
        </row>
        <row r="155">
          <cell r="Q155" t="str">
            <v>4311ABSAH3624225011320</v>
          </cell>
          <cell r="R155">
            <v>2</v>
          </cell>
          <cell r="S155">
            <v>0</v>
          </cell>
        </row>
        <row r="156">
          <cell r="Q156" t="str">
            <v>4311ABSAH362422509050</v>
          </cell>
          <cell r="R156">
            <v>8</v>
          </cell>
          <cell r="S156">
            <v>0</v>
          </cell>
        </row>
        <row r="157">
          <cell r="Q157" t="str">
            <v>4311ABSAH368172010170</v>
          </cell>
          <cell r="R157">
            <v>1</v>
          </cell>
          <cell r="S157">
            <v>0</v>
          </cell>
        </row>
        <row r="158">
          <cell r="Q158" t="str">
            <v>4311ABSAH36817208840</v>
          </cell>
          <cell r="R158">
            <v>8</v>
          </cell>
          <cell r="S158">
            <v>0</v>
          </cell>
        </row>
        <row r="159">
          <cell r="Q159" t="str">
            <v>4311ABSAH36817209220</v>
          </cell>
          <cell r="R159">
            <v>4</v>
          </cell>
          <cell r="S159">
            <v>0</v>
          </cell>
        </row>
        <row r="160">
          <cell r="Q160" t="str">
            <v>4311ABSAH368178010540</v>
          </cell>
          <cell r="R160">
            <v>2</v>
          </cell>
          <cell r="S160">
            <v>0</v>
          </cell>
        </row>
        <row r="161">
          <cell r="Q161" t="str">
            <v>4311ABSAH368178011220</v>
          </cell>
          <cell r="R161">
            <v>1</v>
          </cell>
          <cell r="S161">
            <v>0</v>
          </cell>
        </row>
        <row r="162">
          <cell r="Q162" t="str">
            <v>4311ABSAH368178012300</v>
          </cell>
          <cell r="R162">
            <v>1</v>
          </cell>
          <cell r="S162">
            <v>0</v>
          </cell>
        </row>
        <row r="163">
          <cell r="Q163" t="str">
            <v>4311ABSAH36817809230</v>
          </cell>
          <cell r="R163">
            <v>2</v>
          </cell>
          <cell r="S163">
            <v>0</v>
          </cell>
        </row>
        <row r="164">
          <cell r="Q164" t="str">
            <v>4311ABSAH36819708700</v>
          </cell>
          <cell r="R164">
            <v>1</v>
          </cell>
          <cell r="S164">
            <v>0</v>
          </cell>
        </row>
        <row r="165">
          <cell r="Q165" t="str">
            <v>4311ABSAH368198010600</v>
          </cell>
          <cell r="R165">
            <v>3</v>
          </cell>
          <cell r="S165">
            <v>0</v>
          </cell>
        </row>
        <row r="166">
          <cell r="Q166" t="str">
            <v>4311ABSAH368198010610</v>
          </cell>
          <cell r="R166">
            <v>8</v>
          </cell>
          <cell r="S166">
            <v>0</v>
          </cell>
        </row>
        <row r="167">
          <cell r="Q167" t="str">
            <v>4311ABSAH368204010600</v>
          </cell>
          <cell r="R167">
            <v>1</v>
          </cell>
          <cell r="S167">
            <v>0</v>
          </cell>
        </row>
        <row r="168">
          <cell r="Q168" t="str">
            <v>4311ABSAH36821706040</v>
          </cell>
          <cell r="R168">
            <v>1</v>
          </cell>
          <cell r="S168">
            <v>0</v>
          </cell>
        </row>
        <row r="169">
          <cell r="Q169" t="str">
            <v>4311ABSAH36822906790</v>
          </cell>
          <cell r="R169">
            <v>1</v>
          </cell>
          <cell r="S169">
            <v>0</v>
          </cell>
        </row>
        <row r="170">
          <cell r="Q170" t="str">
            <v>4311ABSAH368251010680</v>
          </cell>
          <cell r="R170">
            <v>1</v>
          </cell>
          <cell r="S170">
            <v>0</v>
          </cell>
        </row>
        <row r="171">
          <cell r="Q171" t="str">
            <v>4311ABSAH368255010150</v>
          </cell>
          <cell r="R171">
            <v>1</v>
          </cell>
          <cell r="S171">
            <v>0</v>
          </cell>
        </row>
        <row r="172">
          <cell r="Q172" t="str">
            <v>4311ABSAH368278010610</v>
          </cell>
          <cell r="R172">
            <v>1</v>
          </cell>
          <cell r="S172">
            <v>0</v>
          </cell>
        </row>
        <row r="173">
          <cell r="Q173" t="str">
            <v>(비어 있음)</v>
          </cell>
        </row>
        <row r="174">
          <cell r="Q174" t="str">
            <v>4311ABSA4518299650</v>
          </cell>
          <cell r="R174">
            <v>1</v>
          </cell>
          <cell r="S174">
            <v>0</v>
          </cell>
        </row>
        <row r="175">
          <cell r="Q175" t="str">
            <v>4311ABSSS400615246096</v>
          </cell>
          <cell r="R175">
            <v>5</v>
          </cell>
          <cell r="S175">
            <v>0</v>
          </cell>
        </row>
        <row r="176">
          <cell r="Q176" t="str">
            <v>4311ABSSS400618296096</v>
          </cell>
          <cell r="R176">
            <v>24</v>
          </cell>
          <cell r="S176">
            <v>0</v>
          </cell>
        </row>
        <row r="177">
          <cell r="Q177" t="str">
            <v>4311ABSSS400618299500</v>
          </cell>
          <cell r="R177">
            <v>1</v>
          </cell>
          <cell r="S177">
            <v>0</v>
          </cell>
        </row>
        <row r="178">
          <cell r="Q178" t="str">
            <v>4311ABSAH321021105280</v>
          </cell>
          <cell r="R178">
            <v>1</v>
          </cell>
          <cell r="S178">
            <v>0</v>
          </cell>
        </row>
        <row r="179">
          <cell r="Q179" t="str">
            <v>4311ABSAH321225908500</v>
          </cell>
          <cell r="R179">
            <v>1</v>
          </cell>
          <cell r="S179">
            <v>0</v>
          </cell>
        </row>
        <row r="180">
          <cell r="Q180" t="str">
            <v>총합계</v>
          </cell>
          <cell r="R180">
            <v>549</v>
          </cell>
          <cell r="S180">
            <v>0</v>
          </cell>
        </row>
      </sheetData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업정보"/>
      <sheetName val="4309"/>
      <sheetName val="형산강"/>
      <sheetName val="기타"/>
      <sheetName val="데이터"/>
      <sheetName val="2월 24일 진교"/>
    </sheetNames>
    <sheetDataSet>
      <sheetData sheetId="0" refreshError="1"/>
      <sheetData sheetId="1" refreshError="1"/>
      <sheetData sheetId="2"/>
      <sheetData sheetId="3" refreshError="1"/>
      <sheetData sheetId="4">
        <row r="2">
          <cell r="A2" t="str">
            <v>통합강재</v>
          </cell>
          <cell r="I2" t="str">
            <v>형산강강재</v>
          </cell>
        </row>
        <row r="4">
          <cell r="J4" t="str">
            <v>값</v>
          </cell>
        </row>
        <row r="5">
          <cell r="I5" t="str">
            <v>행 레이블</v>
          </cell>
          <cell r="J5" t="str">
            <v>합계 : 수량</v>
          </cell>
          <cell r="K5" t="str">
            <v>합계 : 출고</v>
          </cell>
        </row>
        <row r="6">
          <cell r="I6" t="str">
            <v>(비어 있음)</v>
          </cell>
        </row>
        <row r="7">
          <cell r="I7" t="str">
            <v>형산강KRAH321116209930</v>
          </cell>
          <cell r="J7">
            <v>1</v>
          </cell>
          <cell r="K7">
            <v>1</v>
          </cell>
        </row>
        <row r="8">
          <cell r="I8" t="str">
            <v>형산강KRA1116208700</v>
          </cell>
          <cell r="J8">
            <v>1</v>
          </cell>
          <cell r="K8">
            <v>1</v>
          </cell>
        </row>
        <row r="9">
          <cell r="I9" t="str">
            <v>형산강KRA1116209930</v>
          </cell>
          <cell r="J9">
            <v>1</v>
          </cell>
          <cell r="K9">
            <v>1</v>
          </cell>
        </row>
        <row r="10">
          <cell r="I10" t="str">
            <v>형산강KRA1116209300</v>
          </cell>
          <cell r="J10">
            <v>1</v>
          </cell>
          <cell r="K10">
            <v>1</v>
          </cell>
        </row>
        <row r="11">
          <cell r="I11" t="str">
            <v>형산강KRA1116209100</v>
          </cell>
          <cell r="J11">
            <v>1</v>
          </cell>
          <cell r="K11">
            <v>1</v>
          </cell>
        </row>
        <row r="12">
          <cell r="I12" t="str">
            <v>형산강KRA1222409380</v>
          </cell>
          <cell r="J12">
            <v>1</v>
          </cell>
          <cell r="K12">
            <v>1</v>
          </cell>
        </row>
        <row r="13">
          <cell r="I13" t="str">
            <v>형산강KRA1221008000</v>
          </cell>
          <cell r="J13">
            <v>2</v>
          </cell>
          <cell r="K13">
            <v>2</v>
          </cell>
        </row>
        <row r="14">
          <cell r="I14" t="str">
            <v>형산강KRA8306011840</v>
          </cell>
          <cell r="J14">
            <v>1</v>
          </cell>
          <cell r="K14">
            <v>1</v>
          </cell>
        </row>
        <row r="15">
          <cell r="I15" t="str">
            <v>형산강KRA8306013350</v>
          </cell>
          <cell r="J15">
            <v>2</v>
          </cell>
          <cell r="K15">
            <v>2</v>
          </cell>
        </row>
        <row r="16">
          <cell r="I16" t="str">
            <v>형산강KRA8306013150</v>
          </cell>
          <cell r="J16">
            <v>1</v>
          </cell>
          <cell r="K16">
            <v>1</v>
          </cell>
        </row>
        <row r="17">
          <cell r="I17" t="str">
            <v>형산강KRA8306013380</v>
          </cell>
          <cell r="J17">
            <v>1</v>
          </cell>
          <cell r="K17">
            <v>1</v>
          </cell>
        </row>
        <row r="18">
          <cell r="I18" t="str">
            <v>형산강KRA9306011290</v>
          </cell>
          <cell r="J18">
            <v>1</v>
          </cell>
          <cell r="K18">
            <v>1</v>
          </cell>
        </row>
        <row r="19">
          <cell r="I19" t="str">
            <v>형산강KRA9306012220</v>
          </cell>
          <cell r="J19">
            <v>1</v>
          </cell>
          <cell r="K19">
            <v>1</v>
          </cell>
        </row>
        <row r="20">
          <cell r="I20" t="str">
            <v>형산강KRA9306013310</v>
          </cell>
          <cell r="J20">
            <v>1</v>
          </cell>
          <cell r="K20">
            <v>1</v>
          </cell>
        </row>
        <row r="21">
          <cell r="I21" t="str">
            <v>형산강KRA9306012900</v>
          </cell>
          <cell r="J21">
            <v>1</v>
          </cell>
          <cell r="K21">
            <v>1</v>
          </cell>
        </row>
        <row r="22">
          <cell r="I22" t="str">
            <v>형산강KRA9256011680</v>
          </cell>
          <cell r="J22">
            <v>1</v>
          </cell>
          <cell r="K22">
            <v>1</v>
          </cell>
        </row>
        <row r="23">
          <cell r="I23" t="str">
            <v>형산강KRA9306012420</v>
          </cell>
          <cell r="J23">
            <v>1</v>
          </cell>
          <cell r="K23">
            <v>1</v>
          </cell>
        </row>
        <row r="24">
          <cell r="I24" t="str">
            <v>형산강KRA9306010100</v>
          </cell>
          <cell r="J24">
            <v>1</v>
          </cell>
          <cell r="K24">
            <v>1</v>
          </cell>
        </row>
        <row r="25">
          <cell r="I25" t="str">
            <v>형산강KRA12306013380</v>
          </cell>
          <cell r="J25">
            <v>2</v>
          </cell>
          <cell r="K25">
            <v>2</v>
          </cell>
        </row>
        <row r="26">
          <cell r="I26" t="str">
            <v>형산강KRA12255011000</v>
          </cell>
          <cell r="J26">
            <v>1</v>
          </cell>
          <cell r="K26">
            <v>1</v>
          </cell>
        </row>
        <row r="27">
          <cell r="I27" t="str">
            <v>형산강KRA12306012570</v>
          </cell>
          <cell r="J27">
            <v>1</v>
          </cell>
          <cell r="K27">
            <v>1</v>
          </cell>
        </row>
        <row r="28">
          <cell r="I28" t="str">
            <v>형산강KRA12256012970</v>
          </cell>
          <cell r="J28">
            <v>1</v>
          </cell>
          <cell r="K28">
            <v>1</v>
          </cell>
        </row>
        <row r="29">
          <cell r="I29" t="str">
            <v>형산강KRA12256011610</v>
          </cell>
          <cell r="J29">
            <v>1</v>
          </cell>
          <cell r="K29">
            <v>1</v>
          </cell>
        </row>
        <row r="30">
          <cell r="I30" t="str">
            <v>형산강KRA12306012310</v>
          </cell>
          <cell r="J30">
            <v>1</v>
          </cell>
          <cell r="K30">
            <v>1</v>
          </cell>
        </row>
        <row r="31">
          <cell r="I31" t="str">
            <v>형산강KRA8306013080</v>
          </cell>
          <cell r="J31">
            <v>1</v>
          </cell>
          <cell r="K31">
            <v>1</v>
          </cell>
        </row>
        <row r="32">
          <cell r="I32" t="str">
            <v>형산강KRA8306012240</v>
          </cell>
          <cell r="J32">
            <v>1</v>
          </cell>
          <cell r="K32">
            <v>1</v>
          </cell>
        </row>
        <row r="33">
          <cell r="I33" t="str">
            <v>형산강KRA8306012480</v>
          </cell>
          <cell r="J33">
            <v>1</v>
          </cell>
          <cell r="K33">
            <v>1</v>
          </cell>
        </row>
        <row r="34">
          <cell r="I34" t="str">
            <v>형산강KRA830109430</v>
          </cell>
          <cell r="J34">
            <v>1</v>
          </cell>
          <cell r="K34">
            <v>1</v>
          </cell>
        </row>
        <row r="35">
          <cell r="I35" t="str">
            <v>형산강KRA830109570</v>
          </cell>
          <cell r="J35">
            <v>1</v>
          </cell>
          <cell r="K35">
            <v>1</v>
          </cell>
        </row>
        <row r="36">
          <cell r="I36" t="str">
            <v>형산강KRA830107740</v>
          </cell>
          <cell r="J36">
            <v>1</v>
          </cell>
          <cell r="K36">
            <v>1</v>
          </cell>
        </row>
        <row r="37">
          <cell r="I37" t="str">
            <v>형산강KRA830107600</v>
          </cell>
          <cell r="J37">
            <v>1</v>
          </cell>
          <cell r="K37">
            <v>1</v>
          </cell>
        </row>
        <row r="38">
          <cell r="I38" t="str">
            <v>형산강KRA8306013500</v>
          </cell>
          <cell r="J38">
            <v>5</v>
          </cell>
          <cell r="K38">
            <v>5</v>
          </cell>
        </row>
        <row r="39">
          <cell r="I39" t="str">
            <v>형산강KRA816608970</v>
          </cell>
          <cell r="J39">
            <v>1</v>
          </cell>
          <cell r="K39">
            <v>1</v>
          </cell>
        </row>
        <row r="40">
          <cell r="I40" t="str">
            <v>형산강KRA12180012950</v>
          </cell>
          <cell r="J40">
            <v>1</v>
          </cell>
          <cell r="K40">
            <v>1</v>
          </cell>
        </row>
        <row r="41">
          <cell r="I41" t="str">
            <v>형산강KRA12180012180</v>
          </cell>
          <cell r="J41">
            <v>1</v>
          </cell>
          <cell r="K41">
            <v>1</v>
          </cell>
        </row>
        <row r="42">
          <cell r="I42" t="str">
            <v>형산강KRA12180013050</v>
          </cell>
          <cell r="J42">
            <v>1</v>
          </cell>
          <cell r="K42">
            <v>1</v>
          </cell>
        </row>
        <row r="43">
          <cell r="I43" t="str">
            <v>형산강KRA12180012170</v>
          </cell>
          <cell r="J43">
            <v>1</v>
          </cell>
          <cell r="K43">
            <v>1</v>
          </cell>
        </row>
        <row r="44">
          <cell r="I44" t="str">
            <v>형산강KRA12180013440</v>
          </cell>
          <cell r="J44">
            <v>1</v>
          </cell>
          <cell r="K44">
            <v>1</v>
          </cell>
        </row>
        <row r="45">
          <cell r="I45" t="str">
            <v>형산강KRA12180011390</v>
          </cell>
          <cell r="J45">
            <v>1</v>
          </cell>
          <cell r="K45">
            <v>1</v>
          </cell>
        </row>
        <row r="46">
          <cell r="I46" t="str">
            <v>형산강KRA12180013500</v>
          </cell>
          <cell r="J46">
            <v>1</v>
          </cell>
          <cell r="K46">
            <v>1</v>
          </cell>
        </row>
        <row r="47">
          <cell r="I47" t="str">
            <v>형산강KRA12180013170</v>
          </cell>
          <cell r="J47">
            <v>1</v>
          </cell>
          <cell r="K47">
            <v>1</v>
          </cell>
        </row>
        <row r="48">
          <cell r="I48" t="str">
            <v>형산강KRA12180012710</v>
          </cell>
          <cell r="J48">
            <v>1</v>
          </cell>
          <cell r="K48">
            <v>1</v>
          </cell>
        </row>
        <row r="49">
          <cell r="I49" t="str">
            <v>형산강KRA1115248000</v>
          </cell>
          <cell r="J49">
            <v>1</v>
          </cell>
          <cell r="K49">
            <v>1</v>
          </cell>
        </row>
        <row r="50">
          <cell r="I50" t="str">
            <v>형산강KRA1118298000</v>
          </cell>
          <cell r="J50">
            <v>1</v>
          </cell>
          <cell r="K50">
            <v>1</v>
          </cell>
        </row>
        <row r="51">
          <cell r="I51" t="str">
            <v>형산강KRAH321119007970</v>
          </cell>
          <cell r="J51">
            <v>2</v>
          </cell>
          <cell r="K51">
            <v>2</v>
          </cell>
        </row>
        <row r="52">
          <cell r="I52" t="str">
            <v>형산강KRA1118299144</v>
          </cell>
          <cell r="J52">
            <v>1</v>
          </cell>
          <cell r="K52">
            <v>1</v>
          </cell>
        </row>
        <row r="53">
          <cell r="I53" t="str">
            <v>형산강KRA11222010990</v>
          </cell>
          <cell r="J53">
            <v>1</v>
          </cell>
          <cell r="K53">
            <v>1</v>
          </cell>
        </row>
        <row r="54">
          <cell r="I54" t="str">
            <v>형산강KRAH321116209130</v>
          </cell>
          <cell r="J54">
            <v>2</v>
          </cell>
          <cell r="K54">
            <v>2</v>
          </cell>
        </row>
        <row r="55">
          <cell r="I55" t="str">
            <v>형산강KRA11163012110</v>
          </cell>
          <cell r="J55">
            <v>2</v>
          </cell>
          <cell r="K55">
            <v>2</v>
          </cell>
        </row>
        <row r="56">
          <cell r="I56" t="str">
            <v>형산강KRA11163010070</v>
          </cell>
          <cell r="J56">
            <v>1</v>
          </cell>
          <cell r="K56">
            <v>1</v>
          </cell>
        </row>
        <row r="57">
          <cell r="I57" t="str">
            <v>형산강KRA1116909570</v>
          </cell>
          <cell r="J57">
            <v>1</v>
          </cell>
          <cell r="K57">
            <v>1</v>
          </cell>
        </row>
        <row r="58">
          <cell r="I58" t="str">
            <v>형산강KRA11152410000</v>
          </cell>
          <cell r="J58">
            <v>1</v>
          </cell>
          <cell r="K58">
            <v>1</v>
          </cell>
        </row>
        <row r="59">
          <cell r="I59" t="str">
            <v>형산강KRA1124309144</v>
          </cell>
          <cell r="J59">
            <v>1</v>
          </cell>
          <cell r="K59">
            <v>1</v>
          </cell>
        </row>
        <row r="60">
          <cell r="I60" t="str">
            <v>형산강KRA11162012460</v>
          </cell>
          <cell r="J60">
            <v>1</v>
          </cell>
          <cell r="K60">
            <v>1</v>
          </cell>
        </row>
        <row r="61">
          <cell r="I61" t="str">
            <v>형산강KRA1116209530</v>
          </cell>
          <cell r="J61">
            <v>1</v>
          </cell>
          <cell r="K61">
            <v>1</v>
          </cell>
        </row>
        <row r="62">
          <cell r="I62" t="str">
            <v>형산강KRA1222407840</v>
          </cell>
          <cell r="J62">
            <v>1</v>
          </cell>
          <cell r="K62">
            <v>1</v>
          </cell>
        </row>
        <row r="63">
          <cell r="I63" t="str">
            <v>형산강KRA1217109780</v>
          </cell>
          <cell r="J63">
            <v>1</v>
          </cell>
          <cell r="K63">
            <v>1</v>
          </cell>
        </row>
        <row r="64">
          <cell r="I64" t="str">
            <v>형산강KRAH321218508630</v>
          </cell>
          <cell r="J64">
            <v>2</v>
          </cell>
          <cell r="K64">
            <v>2</v>
          </cell>
        </row>
        <row r="65">
          <cell r="I65" t="str">
            <v>형산강KRA12191010750</v>
          </cell>
          <cell r="J65">
            <v>1</v>
          </cell>
          <cell r="K65">
            <v>1</v>
          </cell>
        </row>
        <row r="66">
          <cell r="I66" t="str">
            <v>형산강KRA1222408360</v>
          </cell>
          <cell r="J66">
            <v>1</v>
          </cell>
          <cell r="K66">
            <v>1</v>
          </cell>
        </row>
        <row r="67">
          <cell r="I67" t="str">
            <v>형산강KRA9306012050</v>
          </cell>
          <cell r="J67">
            <v>12</v>
          </cell>
          <cell r="K67">
            <v>12</v>
          </cell>
        </row>
        <row r="68">
          <cell r="I68" t="str">
            <v>형산강KRA9256012050</v>
          </cell>
          <cell r="J68">
            <v>6</v>
          </cell>
          <cell r="K68">
            <v>6</v>
          </cell>
        </row>
        <row r="69">
          <cell r="I69" t="str">
            <v>형산강KRA9306011760</v>
          </cell>
          <cell r="J69">
            <v>2</v>
          </cell>
          <cell r="K69">
            <v>2</v>
          </cell>
        </row>
        <row r="70">
          <cell r="I70" t="str">
            <v>형산강KRA9306012360</v>
          </cell>
          <cell r="J70">
            <v>2</v>
          </cell>
          <cell r="K70">
            <v>2</v>
          </cell>
        </row>
        <row r="71">
          <cell r="I71" t="str">
            <v>형산강KRA9306011770</v>
          </cell>
          <cell r="J71">
            <v>1</v>
          </cell>
          <cell r="K71">
            <v>1</v>
          </cell>
        </row>
        <row r="72">
          <cell r="I72" t="str">
            <v>형산강KRA12306012050</v>
          </cell>
          <cell r="J72">
            <v>12</v>
          </cell>
          <cell r="K72">
            <v>12</v>
          </cell>
        </row>
        <row r="73">
          <cell r="I73" t="str">
            <v>형산강KRA12256012050</v>
          </cell>
          <cell r="J73">
            <v>6</v>
          </cell>
          <cell r="K73">
            <v>6</v>
          </cell>
        </row>
        <row r="74">
          <cell r="I74" t="str">
            <v>형산강KRA12306011750</v>
          </cell>
          <cell r="J74">
            <v>2</v>
          </cell>
          <cell r="K74">
            <v>2</v>
          </cell>
        </row>
        <row r="75">
          <cell r="I75" t="str">
            <v>형산강KRA12306012640</v>
          </cell>
          <cell r="J75">
            <v>1</v>
          </cell>
          <cell r="K75">
            <v>1</v>
          </cell>
        </row>
        <row r="76">
          <cell r="I76" t="str">
            <v>형산강KRA12306012320</v>
          </cell>
          <cell r="J76">
            <v>1</v>
          </cell>
          <cell r="K76">
            <v>1</v>
          </cell>
        </row>
        <row r="77">
          <cell r="I77" t="str">
            <v>형산강KRA12306012980</v>
          </cell>
          <cell r="J77">
            <v>1</v>
          </cell>
          <cell r="K77">
            <v>1</v>
          </cell>
        </row>
        <row r="78">
          <cell r="I78" t="str">
            <v>총합계</v>
          </cell>
          <cell r="J78">
            <v>117</v>
          </cell>
          <cell r="K78">
            <v>117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2"/>
  <sheetViews>
    <sheetView tabSelected="1" view="pageBreakPreview" zoomScaleSheetLayoutView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30" sqref="G30"/>
    </sheetView>
  </sheetViews>
  <sheetFormatPr defaultRowHeight="17.25"/>
  <cols>
    <col min="1" max="1" width="1.77734375" style="109" customWidth="1"/>
    <col min="2" max="2" width="11.88671875" style="109" customWidth="1"/>
    <col min="3" max="3" width="9" style="109" customWidth="1"/>
    <col min="4" max="4" width="13.6640625" style="109" customWidth="1"/>
    <col min="5" max="6" width="19.109375" style="109" customWidth="1"/>
    <col min="7" max="16384" width="8.88671875" style="109"/>
  </cols>
  <sheetData>
    <row r="2" spans="1:6" s="108" customFormat="1" ht="43.5" customHeight="1">
      <c r="A2" s="107" t="s">
        <v>76</v>
      </c>
      <c r="B2" s="107"/>
      <c r="C2" s="107"/>
      <c r="D2" s="107"/>
      <c r="E2" s="107"/>
      <c r="F2" s="107"/>
    </row>
    <row r="3" spans="1:6" ht="12.6" customHeight="1">
      <c r="B3" s="110"/>
      <c r="C3" s="110"/>
      <c r="D3" s="110"/>
      <c r="E3" s="110"/>
      <c r="F3" s="110"/>
    </row>
    <row r="4" spans="1:6" ht="21.95" customHeight="1">
      <c r="B4" s="111" t="s">
        <v>77</v>
      </c>
      <c r="C4" s="111" t="s">
        <v>78</v>
      </c>
      <c r="D4" s="111" t="s">
        <v>79</v>
      </c>
      <c r="E4" s="112" t="s">
        <v>80</v>
      </c>
      <c r="F4" s="112" t="s">
        <v>81</v>
      </c>
    </row>
    <row r="5" spans="1:6" ht="21.95" customHeight="1">
      <c r="B5" s="113">
        <v>301</v>
      </c>
      <c r="C5" s="113">
        <v>27</v>
      </c>
      <c r="D5" s="114">
        <v>89.35</v>
      </c>
      <c r="E5" s="115">
        <v>50000</v>
      </c>
      <c r="F5" s="115">
        <f t="shared" ref="F5:F32" si="0">D5*E5</f>
        <v>4467500</v>
      </c>
    </row>
    <row r="6" spans="1:6" ht="21.95" customHeight="1">
      <c r="B6" s="113">
        <v>302</v>
      </c>
      <c r="C6" s="113">
        <v>26</v>
      </c>
      <c r="D6" s="114">
        <v>104.1</v>
      </c>
      <c r="E6" s="115">
        <v>50000</v>
      </c>
      <c r="F6" s="115">
        <f t="shared" si="0"/>
        <v>5205000</v>
      </c>
    </row>
    <row r="7" spans="1:6" ht="21.95" customHeight="1">
      <c r="B7" s="113">
        <v>303</v>
      </c>
      <c r="C7" s="113">
        <v>25</v>
      </c>
      <c r="D7" s="114">
        <v>97.4</v>
      </c>
      <c r="E7" s="115">
        <v>50000</v>
      </c>
      <c r="F7" s="115">
        <f t="shared" si="0"/>
        <v>4870000</v>
      </c>
    </row>
    <row r="8" spans="1:6" ht="21.95" customHeight="1">
      <c r="B8" s="113">
        <v>304</v>
      </c>
      <c r="C8" s="113">
        <v>24</v>
      </c>
      <c r="D8" s="114">
        <v>97.4</v>
      </c>
      <c r="E8" s="115">
        <v>50000</v>
      </c>
      <c r="F8" s="115">
        <f t="shared" si="0"/>
        <v>4870000</v>
      </c>
    </row>
    <row r="9" spans="1:6" ht="21.95" customHeight="1">
      <c r="B9" s="113">
        <v>305</v>
      </c>
      <c r="C9" s="113">
        <v>23</v>
      </c>
      <c r="D9" s="114">
        <v>88.8</v>
      </c>
      <c r="E9" s="115">
        <v>50000</v>
      </c>
      <c r="F9" s="115">
        <f t="shared" si="0"/>
        <v>4440000</v>
      </c>
    </row>
    <row r="10" spans="1:6" ht="21.95" customHeight="1">
      <c r="B10" s="113">
        <v>306</v>
      </c>
      <c r="C10" s="113">
        <v>22</v>
      </c>
      <c r="D10" s="114">
        <v>88.8</v>
      </c>
      <c r="E10" s="115">
        <v>50000</v>
      </c>
      <c r="F10" s="115">
        <f t="shared" si="0"/>
        <v>4440000</v>
      </c>
    </row>
    <row r="11" spans="1:6" ht="21.95" customHeight="1">
      <c r="B11" s="113">
        <v>307</v>
      </c>
      <c r="C11" s="113">
        <v>21</v>
      </c>
      <c r="D11" s="114">
        <v>97.4</v>
      </c>
      <c r="E11" s="115">
        <v>50000</v>
      </c>
      <c r="F11" s="115">
        <f t="shared" si="0"/>
        <v>4870000</v>
      </c>
    </row>
    <row r="12" spans="1:6" ht="21.95" customHeight="1">
      <c r="B12" s="113">
        <v>308</v>
      </c>
      <c r="C12" s="113">
        <v>20</v>
      </c>
      <c r="D12" s="114">
        <v>97.4</v>
      </c>
      <c r="E12" s="115">
        <v>50000</v>
      </c>
      <c r="F12" s="115">
        <f t="shared" si="0"/>
        <v>4870000</v>
      </c>
    </row>
    <row r="13" spans="1:6" ht="21.95" customHeight="1">
      <c r="B13" s="113">
        <v>309</v>
      </c>
      <c r="C13" s="113">
        <v>19</v>
      </c>
      <c r="D13" s="114">
        <v>97.4</v>
      </c>
      <c r="E13" s="115">
        <v>50000</v>
      </c>
      <c r="F13" s="115">
        <f t="shared" si="0"/>
        <v>4870000</v>
      </c>
    </row>
    <row r="14" spans="1:6" ht="21.95" customHeight="1">
      <c r="B14" s="113">
        <v>310</v>
      </c>
      <c r="C14" s="113">
        <v>18</v>
      </c>
      <c r="D14" s="114">
        <v>97.4</v>
      </c>
      <c r="E14" s="115">
        <v>50000</v>
      </c>
      <c r="F14" s="115">
        <f t="shared" si="0"/>
        <v>4870000</v>
      </c>
    </row>
    <row r="15" spans="1:6" ht="21.95" customHeight="1">
      <c r="B15" s="113">
        <v>311</v>
      </c>
      <c r="C15" s="113">
        <v>17</v>
      </c>
      <c r="D15" s="114">
        <v>97.4</v>
      </c>
      <c r="E15" s="115">
        <v>50000</v>
      </c>
      <c r="F15" s="115">
        <f t="shared" si="0"/>
        <v>4870000</v>
      </c>
    </row>
    <row r="16" spans="1:6" ht="21.95" customHeight="1">
      <c r="B16" s="113">
        <v>312</v>
      </c>
      <c r="C16" s="113">
        <v>16</v>
      </c>
      <c r="D16" s="114">
        <v>97.4</v>
      </c>
      <c r="E16" s="115">
        <v>50000</v>
      </c>
      <c r="F16" s="115">
        <f t="shared" si="0"/>
        <v>4870000</v>
      </c>
    </row>
    <row r="17" spans="2:6" ht="21.95" customHeight="1">
      <c r="B17" s="113">
        <v>313</v>
      </c>
      <c r="C17" s="113">
        <v>15</v>
      </c>
      <c r="D17" s="114">
        <v>97.4</v>
      </c>
      <c r="E17" s="115">
        <v>50000</v>
      </c>
      <c r="F17" s="115">
        <f t="shared" si="0"/>
        <v>4870000</v>
      </c>
    </row>
    <row r="18" spans="2:6" ht="21.95" customHeight="1">
      <c r="B18" s="113">
        <v>314</v>
      </c>
      <c r="C18" s="113">
        <v>14</v>
      </c>
      <c r="D18" s="114">
        <v>97.4</v>
      </c>
      <c r="E18" s="115">
        <v>50000</v>
      </c>
      <c r="F18" s="115">
        <f t="shared" si="0"/>
        <v>4870000</v>
      </c>
    </row>
    <row r="19" spans="2:6" ht="21.95" customHeight="1">
      <c r="B19" s="113">
        <v>315</v>
      </c>
      <c r="C19" s="113">
        <v>13</v>
      </c>
      <c r="D19" s="114">
        <v>97.4</v>
      </c>
      <c r="E19" s="115">
        <v>50000</v>
      </c>
      <c r="F19" s="115">
        <f t="shared" si="0"/>
        <v>4870000</v>
      </c>
    </row>
    <row r="20" spans="2:6" ht="21.95" customHeight="1">
      <c r="B20" s="113">
        <v>316</v>
      </c>
      <c r="C20" s="113">
        <v>12</v>
      </c>
      <c r="D20" s="114">
        <v>97.4</v>
      </c>
      <c r="E20" s="115">
        <v>50000</v>
      </c>
      <c r="F20" s="115">
        <f t="shared" si="0"/>
        <v>4870000</v>
      </c>
    </row>
    <row r="21" spans="2:6" ht="21.95" customHeight="1">
      <c r="B21" s="113">
        <v>317</v>
      </c>
      <c r="C21" s="113">
        <v>11</v>
      </c>
      <c r="D21" s="114">
        <v>97.4</v>
      </c>
      <c r="E21" s="115">
        <v>50000</v>
      </c>
      <c r="F21" s="115">
        <f t="shared" si="0"/>
        <v>4870000</v>
      </c>
    </row>
    <row r="22" spans="2:6" ht="21.95" customHeight="1">
      <c r="B22" s="113">
        <v>318</v>
      </c>
      <c r="C22" s="113">
        <v>10</v>
      </c>
      <c r="D22" s="114">
        <v>97.4</v>
      </c>
      <c r="E22" s="115">
        <v>50000</v>
      </c>
      <c r="F22" s="115">
        <f t="shared" si="0"/>
        <v>4870000</v>
      </c>
    </row>
    <row r="23" spans="2:6" ht="21.95" customHeight="1">
      <c r="B23" s="113">
        <v>319</v>
      </c>
      <c r="C23" s="113">
        <v>9</v>
      </c>
      <c r="D23" s="114">
        <v>97.4</v>
      </c>
      <c r="E23" s="115">
        <v>50000</v>
      </c>
      <c r="F23" s="115">
        <f t="shared" si="0"/>
        <v>4870000</v>
      </c>
    </row>
    <row r="24" spans="2:6" ht="21.95" customHeight="1">
      <c r="B24" s="113">
        <v>320</v>
      </c>
      <c r="C24" s="113">
        <v>8</v>
      </c>
      <c r="D24" s="114">
        <v>88.83</v>
      </c>
      <c r="E24" s="115">
        <v>50000</v>
      </c>
      <c r="F24" s="115">
        <f t="shared" si="0"/>
        <v>4441500</v>
      </c>
    </row>
    <row r="25" spans="2:6" ht="21.95" customHeight="1">
      <c r="B25" s="113">
        <v>321</v>
      </c>
      <c r="C25" s="113">
        <v>7</v>
      </c>
      <c r="D25" s="114">
        <v>88.83</v>
      </c>
      <c r="E25" s="115">
        <v>50000</v>
      </c>
      <c r="F25" s="115">
        <f t="shared" si="0"/>
        <v>4441500</v>
      </c>
    </row>
    <row r="26" spans="2:6" ht="21.95" customHeight="1">
      <c r="B26" s="113">
        <v>322</v>
      </c>
      <c r="C26" s="113">
        <v>6</v>
      </c>
      <c r="D26" s="114">
        <v>97.4</v>
      </c>
      <c r="E26" s="115">
        <v>50000</v>
      </c>
      <c r="F26" s="115">
        <f t="shared" si="0"/>
        <v>4870000</v>
      </c>
    </row>
    <row r="27" spans="2:6" ht="21.95" customHeight="1">
      <c r="B27" s="113">
        <v>323</v>
      </c>
      <c r="C27" s="113">
        <v>5</v>
      </c>
      <c r="D27" s="114">
        <v>81.099999999999994</v>
      </c>
      <c r="E27" s="115">
        <v>50000</v>
      </c>
      <c r="F27" s="115">
        <f t="shared" si="0"/>
        <v>4054999.9999999995</v>
      </c>
    </row>
    <row r="28" spans="2:6" ht="21.95" customHeight="1">
      <c r="B28" s="113">
        <v>324</v>
      </c>
      <c r="C28" s="113">
        <v>4</v>
      </c>
      <c r="D28" s="114">
        <v>81.099999999999994</v>
      </c>
      <c r="E28" s="115">
        <v>50000</v>
      </c>
      <c r="F28" s="115">
        <f t="shared" si="0"/>
        <v>4054999.9999999995</v>
      </c>
    </row>
    <row r="29" spans="2:6" ht="21.95" customHeight="1">
      <c r="B29" s="113">
        <v>325</v>
      </c>
      <c r="C29" s="113">
        <v>3</v>
      </c>
      <c r="D29" s="114">
        <v>81.400000000000006</v>
      </c>
      <c r="E29" s="115">
        <v>50000</v>
      </c>
      <c r="F29" s="115">
        <f t="shared" si="0"/>
        <v>4070000.0000000005</v>
      </c>
    </row>
    <row r="30" spans="2:6" ht="21.95" customHeight="1">
      <c r="B30" s="113">
        <v>326</v>
      </c>
      <c r="C30" s="113">
        <v>2</v>
      </c>
      <c r="D30" s="114">
        <v>81.819999999999993</v>
      </c>
      <c r="E30" s="115">
        <v>50000</v>
      </c>
      <c r="F30" s="115">
        <f t="shared" si="0"/>
        <v>4090999.9999999995</v>
      </c>
    </row>
    <row r="31" spans="2:6" ht="21.95" customHeight="1">
      <c r="B31" s="113">
        <v>327</v>
      </c>
      <c r="C31" s="113">
        <v>1</v>
      </c>
      <c r="D31" s="114">
        <v>68.37</v>
      </c>
      <c r="E31" s="115">
        <v>50000</v>
      </c>
      <c r="F31" s="115">
        <f t="shared" si="0"/>
        <v>3418500</v>
      </c>
    </row>
    <row r="32" spans="2:6" ht="21.95" customHeight="1">
      <c r="B32" s="116" t="s">
        <v>82</v>
      </c>
      <c r="C32" s="116"/>
      <c r="D32" s="114">
        <f>SUM(D5:D31)</f>
        <v>2500.9000000000005</v>
      </c>
      <c r="E32" s="115">
        <v>50000</v>
      </c>
      <c r="F32" s="117">
        <f t="shared" si="0"/>
        <v>125045000.00000003</v>
      </c>
    </row>
  </sheetData>
  <mergeCells count="2">
    <mergeCell ref="A2:F2"/>
    <mergeCell ref="B32:C32"/>
  </mergeCells>
  <phoneticPr fontId="6" type="noConversion"/>
  <pageMargins left="0.39370078740157483" right="0.47244094488188981" top="0.47" bottom="0.51" header="0.31496062992125984" footer="0.31496062992125984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36"/>
  <sheetViews>
    <sheetView topLeftCell="A4" zoomScaleNormal="100" zoomScaleSheetLayoutView="100" zoomScalePageLayoutView="220" workbookViewId="0">
      <selection activeCell="AA17" sqref="AA17"/>
    </sheetView>
  </sheetViews>
  <sheetFormatPr defaultColWidth="3.77734375" defaultRowHeight="20.25" customHeight="1"/>
  <cols>
    <col min="1" max="1" width="2" style="1" customWidth="1"/>
    <col min="2" max="2" width="5.21875" style="1" customWidth="1"/>
    <col min="3" max="4" width="3.6640625" style="1" customWidth="1"/>
    <col min="5" max="5" width="2" style="1" customWidth="1"/>
    <col min="6" max="6" width="4.77734375" style="1" customWidth="1"/>
    <col min="7" max="7" width="8.6640625" style="1" customWidth="1"/>
    <col min="8" max="8" width="6.44140625" style="1" customWidth="1"/>
    <col min="9" max="9" width="3.21875" style="1" customWidth="1"/>
    <col min="10" max="10" width="0.77734375" style="1" customWidth="1"/>
    <col min="11" max="11" width="4.44140625" style="1" customWidth="1"/>
    <col min="12" max="12" width="2.109375" style="1" customWidth="1"/>
    <col min="13" max="13" width="4.44140625" style="1" customWidth="1"/>
    <col min="14" max="14" width="5.21875" style="1" customWidth="1"/>
    <col min="15" max="16" width="2.88671875" style="1" customWidth="1"/>
    <col min="17" max="17" width="3.88671875" style="1" customWidth="1"/>
    <col min="18" max="18" width="3.5546875" style="1" customWidth="1"/>
    <col min="19" max="19" width="4.109375" style="1" customWidth="1"/>
    <col min="20" max="20" width="6.44140625" style="1" customWidth="1"/>
    <col min="21" max="21" width="4" style="1" customWidth="1"/>
    <col min="22" max="22" width="6" style="1" customWidth="1"/>
    <col min="23" max="23" width="2" style="1" customWidth="1"/>
    <col min="24" max="25" width="3.77734375" style="1" customWidth="1"/>
    <col min="26" max="26" width="14.44140625" style="1" customWidth="1"/>
    <col min="27" max="27" width="24.33203125" style="1" customWidth="1"/>
    <col min="28" max="16384" width="3.77734375" style="1"/>
  </cols>
  <sheetData>
    <row r="1" spans="1:23" ht="25.5" customHeight="1">
      <c r="A1" s="23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2"/>
      <c r="N1" s="22"/>
      <c r="O1" s="21"/>
      <c r="P1" s="21"/>
      <c r="Q1" s="21"/>
      <c r="R1" s="21"/>
      <c r="S1" s="21"/>
      <c r="T1" s="20"/>
      <c r="U1" s="20"/>
      <c r="V1" s="20"/>
      <c r="W1" s="19"/>
    </row>
    <row r="2" spans="1:23" ht="42.95" customHeight="1">
      <c r="A2" s="11"/>
      <c r="B2" s="18"/>
      <c r="C2" s="17" t="s">
        <v>13</v>
      </c>
      <c r="D2" s="18"/>
      <c r="E2" s="17" t="s">
        <v>12</v>
      </c>
      <c r="F2" s="45" t="s">
        <v>36</v>
      </c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7"/>
      <c r="W2" s="7"/>
    </row>
    <row r="3" spans="1:23" ht="18" customHeight="1">
      <c r="A3" s="11"/>
      <c r="B3" s="48">
        <v>46173</v>
      </c>
      <c r="C3" s="49"/>
      <c r="D3" s="49"/>
      <c r="E3" s="49"/>
      <c r="F3" s="49"/>
      <c r="G3" s="49"/>
      <c r="H3" s="50"/>
      <c r="I3" s="54" t="s">
        <v>11</v>
      </c>
      <c r="J3" s="57" t="s">
        <v>10</v>
      </c>
      <c r="K3" s="58"/>
      <c r="L3" s="59"/>
      <c r="M3" s="60" t="s">
        <v>28</v>
      </c>
      <c r="N3" s="60"/>
      <c r="O3" s="60"/>
      <c r="P3" s="60"/>
      <c r="Q3" s="60"/>
      <c r="R3" s="60"/>
      <c r="S3" s="60"/>
      <c r="T3" s="60"/>
      <c r="U3" s="60"/>
      <c r="V3" s="60"/>
      <c r="W3" s="16"/>
    </row>
    <row r="4" spans="1:23" ht="18" customHeight="1">
      <c r="A4" s="11"/>
      <c r="B4" s="51"/>
      <c r="C4" s="52"/>
      <c r="D4" s="52"/>
      <c r="E4" s="52"/>
      <c r="F4" s="52"/>
      <c r="G4" s="52"/>
      <c r="H4" s="53"/>
      <c r="I4" s="55"/>
      <c r="J4" s="24" t="s">
        <v>9</v>
      </c>
      <c r="K4" s="24"/>
      <c r="L4" s="24"/>
      <c r="M4" s="60"/>
      <c r="N4" s="60"/>
      <c r="O4" s="60"/>
      <c r="P4" s="60"/>
      <c r="Q4" s="60"/>
      <c r="R4" s="60"/>
      <c r="S4" s="60"/>
      <c r="T4" s="60"/>
      <c r="U4" s="60"/>
      <c r="V4" s="60"/>
      <c r="W4" s="16"/>
    </row>
    <row r="5" spans="1:23" ht="30" customHeight="1">
      <c r="A5" s="11"/>
      <c r="B5" s="57" t="s">
        <v>35</v>
      </c>
      <c r="C5" s="58"/>
      <c r="D5" s="58"/>
      <c r="E5" s="58"/>
      <c r="F5" s="58"/>
      <c r="G5" s="58"/>
      <c r="H5" s="59"/>
      <c r="I5" s="55"/>
      <c r="J5" s="25" t="s">
        <v>8</v>
      </c>
      <c r="K5" s="26"/>
      <c r="L5" s="26"/>
      <c r="M5" s="64" t="s">
        <v>75</v>
      </c>
      <c r="N5" s="64"/>
      <c r="O5" s="60"/>
      <c r="P5" s="60"/>
      <c r="Q5" s="60"/>
      <c r="R5" s="60"/>
      <c r="S5" s="27" t="s">
        <v>7</v>
      </c>
      <c r="T5" s="60" t="s">
        <v>34</v>
      </c>
      <c r="U5" s="60"/>
      <c r="V5" s="60"/>
      <c r="W5" s="7"/>
    </row>
    <row r="6" spans="1:23" ht="18" customHeight="1">
      <c r="A6" s="11"/>
      <c r="B6" s="61"/>
      <c r="C6" s="62"/>
      <c r="D6" s="62"/>
      <c r="E6" s="62"/>
      <c r="F6" s="62"/>
      <c r="G6" s="62"/>
      <c r="H6" s="63"/>
      <c r="I6" s="55"/>
      <c r="J6" s="28" t="s">
        <v>6</v>
      </c>
      <c r="K6" s="29"/>
      <c r="L6" s="29"/>
      <c r="M6" s="64" t="s">
        <v>74</v>
      </c>
      <c r="N6" s="64"/>
      <c r="O6" s="60"/>
      <c r="P6" s="60"/>
      <c r="Q6" s="60"/>
      <c r="R6" s="60"/>
      <c r="S6" s="60"/>
      <c r="T6" s="60"/>
      <c r="U6" s="60"/>
      <c r="V6" s="60"/>
      <c r="W6" s="7"/>
    </row>
    <row r="7" spans="1:23" ht="18" customHeight="1">
      <c r="A7" s="11"/>
      <c r="B7" s="57" t="s">
        <v>5</v>
      </c>
      <c r="C7" s="58"/>
      <c r="D7" s="58"/>
      <c r="E7" s="58"/>
      <c r="F7" s="58"/>
      <c r="G7" s="58"/>
      <c r="H7" s="59"/>
      <c r="I7" s="55"/>
      <c r="J7" s="30" t="s">
        <v>4</v>
      </c>
      <c r="K7" s="31"/>
      <c r="L7" s="31"/>
      <c r="M7" s="64"/>
      <c r="N7" s="64"/>
      <c r="O7" s="60"/>
      <c r="P7" s="60"/>
      <c r="Q7" s="60"/>
      <c r="R7" s="60"/>
      <c r="S7" s="60"/>
      <c r="T7" s="60"/>
      <c r="U7" s="60"/>
      <c r="V7" s="60"/>
      <c r="W7" s="7"/>
    </row>
    <row r="8" spans="1:23" ht="28.5" customHeight="1">
      <c r="A8" s="11"/>
      <c r="B8" s="61"/>
      <c r="C8" s="62"/>
      <c r="D8" s="62"/>
      <c r="E8" s="62"/>
      <c r="F8" s="62"/>
      <c r="G8" s="62"/>
      <c r="H8" s="63"/>
      <c r="I8" s="56"/>
      <c r="J8" s="65" t="s">
        <v>3</v>
      </c>
      <c r="K8" s="66"/>
      <c r="L8" s="64"/>
      <c r="M8" s="64" t="s">
        <v>29</v>
      </c>
      <c r="N8" s="64"/>
      <c r="O8" s="60"/>
      <c r="P8" s="60"/>
      <c r="Q8" s="60" t="s">
        <v>2</v>
      </c>
      <c r="R8" s="60"/>
      <c r="S8" s="60" t="s">
        <v>30</v>
      </c>
      <c r="T8" s="60"/>
      <c r="U8" s="60"/>
      <c r="V8" s="60"/>
      <c r="W8" s="7"/>
    </row>
    <row r="9" spans="1:23" ht="30" customHeight="1">
      <c r="A9" s="11"/>
      <c r="B9" s="35" t="s">
        <v>1</v>
      </c>
      <c r="C9" s="67" t="s">
        <v>0</v>
      </c>
      <c r="D9" s="68"/>
      <c r="E9" s="69">
        <f>S9</f>
        <v>27709000</v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1" t="s">
        <v>19</v>
      </c>
      <c r="R9" s="71"/>
      <c r="S9" s="72">
        <f>P32</f>
        <v>27709000</v>
      </c>
      <c r="T9" s="73"/>
      <c r="U9" s="73"/>
      <c r="V9" s="32" t="s">
        <v>20</v>
      </c>
      <c r="W9" s="7"/>
    </row>
    <row r="10" spans="1:23" ht="40.5" customHeight="1">
      <c r="A10" s="11"/>
      <c r="B10" s="27" t="s">
        <v>14</v>
      </c>
      <c r="C10" s="74" t="s">
        <v>15</v>
      </c>
      <c r="D10" s="75"/>
      <c r="E10" s="75"/>
      <c r="F10" s="75"/>
      <c r="G10" s="75"/>
      <c r="H10" s="75"/>
      <c r="I10" s="76"/>
      <c r="J10" s="77" t="s">
        <v>33</v>
      </c>
      <c r="K10" s="77"/>
      <c r="L10" s="77"/>
      <c r="M10" s="74" t="s">
        <v>32</v>
      </c>
      <c r="N10" s="76"/>
      <c r="O10" s="74" t="s">
        <v>16</v>
      </c>
      <c r="P10" s="75"/>
      <c r="Q10" s="76"/>
      <c r="R10" s="74" t="s">
        <v>17</v>
      </c>
      <c r="S10" s="75"/>
      <c r="T10" s="76"/>
      <c r="U10" s="74" t="s">
        <v>18</v>
      </c>
      <c r="V10" s="76"/>
      <c r="W10" s="7"/>
    </row>
    <row r="11" spans="1:23" ht="22.5" customHeight="1">
      <c r="A11" s="11"/>
      <c r="B11" s="33" t="s">
        <v>31</v>
      </c>
      <c r="C11" s="78" t="s">
        <v>67</v>
      </c>
      <c r="D11" s="79"/>
      <c r="E11" s="79"/>
      <c r="F11" s="79"/>
      <c r="G11" s="79"/>
      <c r="H11" s="79"/>
      <c r="I11" s="80"/>
      <c r="J11" s="78">
        <v>1</v>
      </c>
      <c r="K11" s="79"/>
      <c r="L11" s="80"/>
      <c r="M11" s="81">
        <v>97.4</v>
      </c>
      <c r="N11" s="82"/>
      <c r="O11" s="83">
        <v>50000</v>
      </c>
      <c r="P11" s="84"/>
      <c r="Q11" s="85"/>
      <c r="R11" s="86">
        <f t="shared" ref="R11:R16" si="0">M11*O11</f>
        <v>4870000</v>
      </c>
      <c r="S11" s="87"/>
      <c r="T11" s="88"/>
      <c r="U11" s="89">
        <f>R11*10%</f>
        <v>487000</v>
      </c>
      <c r="V11" s="90"/>
      <c r="W11" s="7"/>
    </row>
    <row r="12" spans="1:23" s="12" customFormat="1" ht="19.5" customHeight="1">
      <c r="A12" s="14"/>
      <c r="B12" s="33" t="s">
        <v>31</v>
      </c>
      <c r="C12" s="78" t="s">
        <v>68</v>
      </c>
      <c r="D12" s="79"/>
      <c r="E12" s="79"/>
      <c r="F12" s="79"/>
      <c r="G12" s="79"/>
      <c r="H12" s="79"/>
      <c r="I12" s="80"/>
      <c r="J12" s="78">
        <v>1</v>
      </c>
      <c r="K12" s="79"/>
      <c r="L12" s="80"/>
      <c r="M12" s="81">
        <v>97.4</v>
      </c>
      <c r="N12" s="82"/>
      <c r="O12" s="83">
        <v>50000</v>
      </c>
      <c r="P12" s="84"/>
      <c r="Q12" s="85"/>
      <c r="R12" s="86">
        <f t="shared" si="0"/>
        <v>4870000</v>
      </c>
      <c r="S12" s="87"/>
      <c r="T12" s="88"/>
      <c r="U12" s="89">
        <f t="shared" ref="U12:U16" si="1">R12*10%</f>
        <v>487000</v>
      </c>
      <c r="V12" s="90"/>
      <c r="W12" s="13"/>
    </row>
    <row r="13" spans="1:23" s="12" customFormat="1" ht="19.5" customHeight="1">
      <c r="A13" s="14"/>
      <c r="B13" s="33" t="s">
        <v>31</v>
      </c>
      <c r="C13" s="78" t="s">
        <v>71</v>
      </c>
      <c r="D13" s="79"/>
      <c r="E13" s="79"/>
      <c r="F13" s="79"/>
      <c r="G13" s="79"/>
      <c r="H13" s="79"/>
      <c r="I13" s="80"/>
      <c r="J13" s="78">
        <v>1</v>
      </c>
      <c r="K13" s="79"/>
      <c r="L13" s="80"/>
      <c r="M13" s="81">
        <v>97.4</v>
      </c>
      <c r="N13" s="82"/>
      <c r="O13" s="83">
        <v>50000</v>
      </c>
      <c r="P13" s="84"/>
      <c r="Q13" s="85"/>
      <c r="R13" s="86">
        <f t="shared" si="0"/>
        <v>4870000</v>
      </c>
      <c r="S13" s="87"/>
      <c r="T13" s="88"/>
      <c r="U13" s="89">
        <f t="shared" si="1"/>
        <v>487000</v>
      </c>
      <c r="V13" s="90"/>
      <c r="W13" s="13"/>
    </row>
    <row r="14" spans="1:23" ht="19.5" customHeight="1">
      <c r="A14" s="11"/>
      <c r="B14" s="33" t="s">
        <v>31</v>
      </c>
      <c r="C14" s="78" t="s">
        <v>70</v>
      </c>
      <c r="D14" s="79"/>
      <c r="E14" s="79"/>
      <c r="F14" s="79"/>
      <c r="G14" s="79"/>
      <c r="H14" s="79"/>
      <c r="I14" s="80"/>
      <c r="J14" s="78">
        <v>1</v>
      </c>
      <c r="K14" s="79"/>
      <c r="L14" s="80"/>
      <c r="M14" s="81">
        <v>97.4</v>
      </c>
      <c r="N14" s="82"/>
      <c r="O14" s="83">
        <v>50000</v>
      </c>
      <c r="P14" s="84"/>
      <c r="Q14" s="85"/>
      <c r="R14" s="86">
        <f t="shared" si="0"/>
        <v>4870000</v>
      </c>
      <c r="S14" s="87"/>
      <c r="T14" s="88"/>
      <c r="U14" s="89">
        <f t="shared" si="1"/>
        <v>487000</v>
      </c>
      <c r="V14" s="90"/>
      <c r="W14" s="7"/>
    </row>
    <row r="15" spans="1:23" ht="19.5" customHeight="1">
      <c r="A15" s="11"/>
      <c r="B15" s="33" t="s">
        <v>31</v>
      </c>
      <c r="C15" s="78" t="s">
        <v>69</v>
      </c>
      <c r="D15" s="79"/>
      <c r="E15" s="79"/>
      <c r="F15" s="79"/>
      <c r="G15" s="79"/>
      <c r="H15" s="79"/>
      <c r="I15" s="80"/>
      <c r="J15" s="78">
        <v>1</v>
      </c>
      <c r="K15" s="79"/>
      <c r="L15" s="80"/>
      <c r="M15" s="81">
        <v>97.4</v>
      </c>
      <c r="N15" s="82"/>
      <c r="O15" s="83">
        <v>50000</v>
      </c>
      <c r="P15" s="84"/>
      <c r="Q15" s="85"/>
      <c r="R15" s="86">
        <f t="shared" si="0"/>
        <v>4870000</v>
      </c>
      <c r="S15" s="87"/>
      <c r="T15" s="88"/>
      <c r="U15" s="89">
        <f t="shared" si="1"/>
        <v>487000</v>
      </c>
      <c r="V15" s="90"/>
      <c r="W15" s="7"/>
    </row>
    <row r="16" spans="1:23" ht="19.5" customHeight="1">
      <c r="A16" s="11"/>
      <c r="B16" s="33" t="s">
        <v>31</v>
      </c>
      <c r="C16" s="78" t="s">
        <v>72</v>
      </c>
      <c r="D16" s="79"/>
      <c r="E16" s="79"/>
      <c r="F16" s="79"/>
      <c r="G16" s="79"/>
      <c r="H16" s="79"/>
      <c r="I16" s="80"/>
      <c r="J16" s="78"/>
      <c r="K16" s="79"/>
      <c r="L16" s="80"/>
      <c r="M16" s="81">
        <v>4.2</v>
      </c>
      <c r="N16" s="82"/>
      <c r="O16" s="83">
        <v>200000</v>
      </c>
      <c r="P16" s="84"/>
      <c r="Q16" s="85"/>
      <c r="R16" s="86">
        <f t="shared" si="0"/>
        <v>840000</v>
      </c>
      <c r="S16" s="87"/>
      <c r="T16" s="88"/>
      <c r="U16" s="89">
        <f t="shared" si="1"/>
        <v>84000</v>
      </c>
      <c r="V16" s="90"/>
      <c r="W16" s="7"/>
    </row>
    <row r="17" spans="1:26" s="12" customFormat="1" ht="19.5" customHeight="1">
      <c r="A17" s="14"/>
      <c r="B17" s="33"/>
      <c r="C17" s="78"/>
      <c r="D17" s="79"/>
      <c r="E17" s="79"/>
      <c r="F17" s="79"/>
      <c r="G17" s="79"/>
      <c r="H17" s="79"/>
      <c r="I17" s="80"/>
      <c r="J17" s="78"/>
      <c r="K17" s="79"/>
      <c r="L17" s="80"/>
      <c r="M17" s="81"/>
      <c r="N17" s="82"/>
      <c r="O17" s="83"/>
      <c r="P17" s="84"/>
      <c r="Q17" s="85"/>
      <c r="R17" s="86"/>
      <c r="S17" s="87"/>
      <c r="T17" s="88"/>
      <c r="U17" s="78"/>
      <c r="V17" s="80"/>
      <c r="W17" s="13"/>
    </row>
    <row r="18" spans="1:26" s="12" customFormat="1" ht="19.5" customHeight="1">
      <c r="A18" s="14"/>
      <c r="B18" s="33"/>
      <c r="C18" s="78"/>
      <c r="D18" s="79"/>
      <c r="E18" s="79"/>
      <c r="F18" s="79"/>
      <c r="G18" s="79"/>
      <c r="H18" s="79"/>
      <c r="I18" s="80"/>
      <c r="J18" s="78"/>
      <c r="K18" s="79"/>
      <c r="L18" s="80"/>
      <c r="M18" s="81"/>
      <c r="N18" s="82"/>
      <c r="O18" s="83"/>
      <c r="P18" s="84"/>
      <c r="Q18" s="85"/>
      <c r="R18" s="86"/>
      <c r="S18" s="87"/>
      <c r="T18" s="88"/>
      <c r="U18" s="78"/>
      <c r="V18" s="80"/>
      <c r="W18" s="13"/>
    </row>
    <row r="19" spans="1:26" s="12" customFormat="1" ht="19.5" customHeight="1">
      <c r="A19" s="14"/>
      <c r="B19" s="33"/>
      <c r="C19" s="78"/>
      <c r="D19" s="79"/>
      <c r="E19" s="79"/>
      <c r="F19" s="79"/>
      <c r="G19" s="79"/>
      <c r="H19" s="79"/>
      <c r="I19" s="80"/>
      <c r="J19" s="78"/>
      <c r="K19" s="79"/>
      <c r="L19" s="80"/>
      <c r="M19" s="81"/>
      <c r="N19" s="82"/>
      <c r="O19" s="83"/>
      <c r="P19" s="84"/>
      <c r="Q19" s="85"/>
      <c r="R19" s="86"/>
      <c r="S19" s="87"/>
      <c r="T19" s="88"/>
      <c r="U19" s="78"/>
      <c r="V19" s="80"/>
      <c r="W19" s="13"/>
    </row>
    <row r="20" spans="1:26" s="12" customFormat="1" ht="19.5" customHeight="1">
      <c r="A20" s="14"/>
      <c r="B20" s="33"/>
      <c r="C20" s="78"/>
      <c r="D20" s="79"/>
      <c r="E20" s="79"/>
      <c r="F20" s="79"/>
      <c r="G20" s="79"/>
      <c r="H20" s="79"/>
      <c r="I20" s="80"/>
      <c r="J20" s="78"/>
      <c r="K20" s="79"/>
      <c r="L20" s="80"/>
      <c r="M20" s="81"/>
      <c r="N20" s="82"/>
      <c r="O20" s="83"/>
      <c r="P20" s="84"/>
      <c r="Q20" s="85"/>
      <c r="R20" s="86"/>
      <c r="S20" s="87"/>
      <c r="T20" s="88"/>
      <c r="U20" s="78"/>
      <c r="V20" s="80"/>
      <c r="W20" s="13"/>
    </row>
    <row r="21" spans="1:26" s="12" customFormat="1" ht="19.5" customHeight="1">
      <c r="A21" s="14"/>
      <c r="B21" s="33"/>
      <c r="C21" s="78"/>
      <c r="D21" s="79"/>
      <c r="E21" s="79"/>
      <c r="F21" s="79"/>
      <c r="G21" s="79"/>
      <c r="H21" s="79"/>
      <c r="I21" s="80"/>
      <c r="J21" s="78"/>
      <c r="K21" s="79"/>
      <c r="L21" s="80"/>
      <c r="M21" s="81"/>
      <c r="N21" s="82"/>
      <c r="O21" s="83"/>
      <c r="P21" s="84"/>
      <c r="Q21" s="85"/>
      <c r="R21" s="86"/>
      <c r="S21" s="87"/>
      <c r="T21" s="88"/>
      <c r="U21" s="78"/>
      <c r="V21" s="80"/>
      <c r="W21" s="13"/>
      <c r="Z21" s="15"/>
    </row>
    <row r="22" spans="1:26" s="12" customFormat="1" ht="19.5" customHeight="1">
      <c r="A22" s="14"/>
      <c r="B22" s="33"/>
      <c r="C22" s="78"/>
      <c r="D22" s="79"/>
      <c r="E22" s="79"/>
      <c r="F22" s="79"/>
      <c r="G22" s="79"/>
      <c r="H22" s="79"/>
      <c r="I22" s="80"/>
      <c r="J22" s="78"/>
      <c r="K22" s="79"/>
      <c r="L22" s="80"/>
      <c r="M22" s="81"/>
      <c r="N22" s="82"/>
      <c r="O22" s="83"/>
      <c r="P22" s="84"/>
      <c r="Q22" s="85"/>
      <c r="R22" s="86"/>
      <c r="S22" s="87"/>
      <c r="T22" s="88"/>
      <c r="U22" s="78"/>
      <c r="V22" s="80"/>
      <c r="W22" s="13"/>
      <c r="Z22" s="15"/>
    </row>
    <row r="23" spans="1:26" s="12" customFormat="1" ht="19.5" customHeight="1">
      <c r="A23" s="14"/>
      <c r="B23" s="33"/>
      <c r="C23" s="78"/>
      <c r="D23" s="79"/>
      <c r="E23" s="79"/>
      <c r="F23" s="79"/>
      <c r="G23" s="79"/>
      <c r="H23" s="79"/>
      <c r="I23" s="80"/>
      <c r="J23" s="78"/>
      <c r="K23" s="79"/>
      <c r="L23" s="80"/>
      <c r="M23" s="81"/>
      <c r="N23" s="82"/>
      <c r="O23" s="83"/>
      <c r="P23" s="84"/>
      <c r="Q23" s="85"/>
      <c r="R23" s="86"/>
      <c r="S23" s="87"/>
      <c r="T23" s="88"/>
      <c r="U23" s="78"/>
      <c r="V23" s="80"/>
      <c r="W23" s="13"/>
      <c r="Z23" s="15"/>
    </row>
    <row r="24" spans="1:26" s="12" customFormat="1" ht="19.5" customHeight="1">
      <c r="A24" s="14"/>
      <c r="B24" s="33"/>
      <c r="C24" s="78"/>
      <c r="D24" s="79"/>
      <c r="E24" s="79"/>
      <c r="F24" s="79"/>
      <c r="G24" s="79"/>
      <c r="H24" s="79"/>
      <c r="I24" s="80"/>
      <c r="J24" s="78"/>
      <c r="K24" s="79"/>
      <c r="L24" s="80"/>
      <c r="M24" s="81"/>
      <c r="N24" s="82"/>
      <c r="O24" s="83"/>
      <c r="P24" s="84"/>
      <c r="Q24" s="85"/>
      <c r="R24" s="86"/>
      <c r="S24" s="87"/>
      <c r="T24" s="88"/>
      <c r="U24" s="78"/>
      <c r="V24" s="80"/>
      <c r="W24" s="13"/>
      <c r="Z24" s="15"/>
    </row>
    <row r="25" spans="1:26" s="12" customFormat="1" ht="19.5" customHeight="1">
      <c r="A25" s="14"/>
      <c r="B25" s="33"/>
      <c r="C25" s="78"/>
      <c r="D25" s="79"/>
      <c r="E25" s="79"/>
      <c r="F25" s="79"/>
      <c r="G25" s="79"/>
      <c r="H25" s="79"/>
      <c r="I25" s="80"/>
      <c r="J25" s="78"/>
      <c r="K25" s="79"/>
      <c r="L25" s="80"/>
      <c r="M25" s="81"/>
      <c r="N25" s="82"/>
      <c r="O25" s="83"/>
      <c r="P25" s="84"/>
      <c r="Q25" s="85"/>
      <c r="R25" s="86"/>
      <c r="S25" s="87"/>
      <c r="T25" s="88"/>
      <c r="U25" s="78"/>
      <c r="V25" s="80"/>
      <c r="W25" s="13"/>
    </row>
    <row r="26" spans="1:26" s="12" customFormat="1" ht="19.5" customHeight="1">
      <c r="A26" s="14"/>
      <c r="B26" s="33"/>
      <c r="C26" s="78"/>
      <c r="D26" s="79"/>
      <c r="E26" s="79"/>
      <c r="F26" s="79"/>
      <c r="G26" s="79"/>
      <c r="H26" s="79"/>
      <c r="I26" s="80"/>
      <c r="J26" s="78"/>
      <c r="K26" s="79"/>
      <c r="L26" s="80"/>
      <c r="M26" s="81"/>
      <c r="N26" s="82"/>
      <c r="O26" s="83"/>
      <c r="P26" s="84"/>
      <c r="Q26" s="85"/>
      <c r="R26" s="86"/>
      <c r="S26" s="87"/>
      <c r="T26" s="88"/>
      <c r="U26" s="78"/>
      <c r="V26" s="80"/>
      <c r="W26" s="13"/>
    </row>
    <row r="27" spans="1:26" s="12" customFormat="1" ht="19.5" customHeight="1">
      <c r="A27" s="14"/>
      <c r="B27" s="33"/>
      <c r="C27" s="78"/>
      <c r="D27" s="79"/>
      <c r="E27" s="79"/>
      <c r="F27" s="79"/>
      <c r="G27" s="79"/>
      <c r="H27" s="79"/>
      <c r="I27" s="80"/>
      <c r="J27" s="78"/>
      <c r="K27" s="79"/>
      <c r="L27" s="80"/>
      <c r="M27" s="81"/>
      <c r="N27" s="82"/>
      <c r="O27" s="83"/>
      <c r="P27" s="84"/>
      <c r="Q27" s="85"/>
      <c r="R27" s="86"/>
      <c r="S27" s="87"/>
      <c r="T27" s="88"/>
      <c r="U27" s="78"/>
      <c r="V27" s="80"/>
      <c r="W27" s="13"/>
    </row>
    <row r="28" spans="1:26" s="12" customFormat="1" ht="19.5" customHeight="1">
      <c r="A28" s="14"/>
      <c r="B28" s="33"/>
      <c r="C28" s="78"/>
      <c r="D28" s="79"/>
      <c r="E28" s="79"/>
      <c r="F28" s="79"/>
      <c r="G28" s="79"/>
      <c r="H28" s="79"/>
      <c r="I28" s="80"/>
      <c r="J28" s="78"/>
      <c r="K28" s="79"/>
      <c r="L28" s="80"/>
      <c r="M28" s="81"/>
      <c r="N28" s="82"/>
      <c r="O28" s="83"/>
      <c r="P28" s="84"/>
      <c r="Q28" s="85"/>
      <c r="R28" s="86"/>
      <c r="S28" s="87"/>
      <c r="T28" s="88"/>
      <c r="U28" s="78"/>
      <c r="V28" s="80"/>
      <c r="W28" s="13"/>
    </row>
    <row r="29" spans="1:26" s="12" customFormat="1" ht="19.5" customHeight="1">
      <c r="A29" s="14"/>
      <c r="B29" s="33"/>
      <c r="C29" s="78"/>
      <c r="D29" s="79"/>
      <c r="E29" s="79"/>
      <c r="F29" s="79"/>
      <c r="G29" s="79"/>
      <c r="H29" s="79"/>
      <c r="I29" s="80"/>
      <c r="J29" s="78"/>
      <c r="K29" s="79"/>
      <c r="L29" s="80"/>
      <c r="M29" s="81"/>
      <c r="N29" s="82"/>
      <c r="O29" s="83"/>
      <c r="P29" s="84"/>
      <c r="Q29" s="85"/>
      <c r="R29" s="86"/>
      <c r="S29" s="87"/>
      <c r="T29" s="88"/>
      <c r="U29" s="78"/>
      <c r="V29" s="80"/>
      <c r="W29" s="13"/>
    </row>
    <row r="30" spans="1:26" s="12" customFormat="1" ht="19.5" customHeight="1">
      <c r="A30" s="14"/>
      <c r="B30" s="34"/>
      <c r="C30" s="78"/>
      <c r="D30" s="79"/>
      <c r="E30" s="79"/>
      <c r="F30" s="79"/>
      <c r="G30" s="79"/>
      <c r="H30" s="79"/>
      <c r="I30" s="80"/>
      <c r="J30" s="94"/>
      <c r="K30" s="94"/>
      <c r="L30" s="94"/>
      <c r="M30" s="91"/>
      <c r="N30" s="92"/>
      <c r="O30" s="86"/>
      <c r="P30" s="87"/>
      <c r="Q30" s="88"/>
      <c r="R30" s="86"/>
      <c r="S30" s="87"/>
      <c r="T30" s="88"/>
      <c r="U30" s="78"/>
      <c r="V30" s="80"/>
      <c r="W30" s="13"/>
    </row>
    <row r="31" spans="1:26" ht="22.5" customHeight="1">
      <c r="A31" s="11"/>
      <c r="B31" s="78" t="s">
        <v>21</v>
      </c>
      <c r="C31" s="79"/>
      <c r="D31" s="79"/>
      <c r="E31" s="79"/>
      <c r="F31" s="79"/>
      <c r="G31" s="79"/>
      <c r="H31" s="79"/>
      <c r="I31" s="79"/>
      <c r="J31" s="95">
        <f>SUM(J11:J30)</f>
        <v>5</v>
      </c>
      <c r="K31" s="96"/>
      <c r="L31" s="97"/>
      <c r="M31" s="91"/>
      <c r="N31" s="92"/>
      <c r="O31" s="86"/>
      <c r="P31" s="87"/>
      <c r="Q31" s="88"/>
      <c r="R31" s="86">
        <f>SUM(R11:T30)</f>
        <v>25190000</v>
      </c>
      <c r="S31" s="87"/>
      <c r="T31" s="88"/>
      <c r="U31" s="93">
        <f>ROUNDDOWN(R31*0.1,)</f>
        <v>2519000</v>
      </c>
      <c r="V31" s="93"/>
      <c r="W31" s="7"/>
    </row>
    <row r="32" spans="1:26" ht="22.5" customHeight="1">
      <c r="A32" s="11"/>
      <c r="B32" s="65" t="s">
        <v>22</v>
      </c>
      <c r="C32" s="66"/>
      <c r="D32" s="66"/>
      <c r="E32" s="65"/>
      <c r="F32" s="66"/>
      <c r="G32" s="66"/>
      <c r="H32" s="66"/>
      <c r="I32" s="66"/>
      <c r="J32" s="65" t="s">
        <v>23</v>
      </c>
      <c r="K32" s="66"/>
      <c r="L32" s="66"/>
      <c r="M32" s="66"/>
      <c r="N32" s="66"/>
      <c r="O32" s="64"/>
      <c r="P32" s="98">
        <f>R31+U31</f>
        <v>27709000</v>
      </c>
      <c r="Q32" s="98"/>
      <c r="R32" s="98"/>
      <c r="S32" s="98"/>
      <c r="T32" s="98"/>
      <c r="U32" s="98"/>
      <c r="V32" s="98"/>
      <c r="W32" s="7"/>
    </row>
    <row r="33" spans="1:23" ht="22.5" customHeight="1">
      <c r="A33" s="11"/>
      <c r="B33" s="65" t="s">
        <v>24</v>
      </c>
      <c r="C33" s="64"/>
      <c r="D33" s="65"/>
      <c r="E33" s="66"/>
      <c r="F33" s="66"/>
      <c r="G33" s="66"/>
      <c r="H33" s="66"/>
      <c r="I33" s="64"/>
      <c r="J33" s="65" t="s">
        <v>25</v>
      </c>
      <c r="K33" s="66"/>
      <c r="L33" s="64"/>
      <c r="M33" s="99"/>
      <c r="N33" s="99"/>
      <c r="O33" s="60"/>
      <c r="P33" s="60"/>
      <c r="Q33" s="60"/>
      <c r="R33" s="60" t="s">
        <v>26</v>
      </c>
      <c r="S33" s="60"/>
      <c r="T33" s="100" t="s">
        <v>27</v>
      </c>
      <c r="U33" s="100"/>
      <c r="V33" s="100"/>
      <c r="W33" s="7"/>
    </row>
    <row r="34" spans="1:23" ht="22.5" customHeight="1">
      <c r="A34" s="11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10"/>
      <c r="N34" s="10"/>
      <c r="O34" s="9"/>
      <c r="P34" s="9"/>
      <c r="Q34" s="9"/>
      <c r="R34" s="9"/>
      <c r="S34" s="9"/>
      <c r="T34" s="8"/>
      <c r="U34" s="8"/>
      <c r="V34" s="8"/>
      <c r="W34" s="7"/>
    </row>
    <row r="35" spans="1:23" ht="22.5" customHeight="1">
      <c r="A35" s="11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10"/>
      <c r="N35" s="10"/>
      <c r="O35" s="9"/>
      <c r="P35" s="9"/>
      <c r="Q35" s="9"/>
      <c r="R35" s="9"/>
      <c r="S35" s="9"/>
      <c r="T35" s="8"/>
      <c r="U35" s="8"/>
      <c r="V35" s="8"/>
      <c r="W35" s="7"/>
    </row>
    <row r="36" spans="1:23" ht="25.5" customHeight="1">
      <c r="A36" s="6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5"/>
      <c r="N36" s="5"/>
      <c r="O36" s="4"/>
      <c r="P36" s="4"/>
      <c r="Q36" s="4"/>
      <c r="R36" s="4"/>
      <c r="S36" s="4"/>
      <c r="T36" s="3"/>
      <c r="U36" s="3"/>
      <c r="V36" s="3"/>
      <c r="W36" s="2"/>
    </row>
  </sheetData>
  <mergeCells count="160">
    <mergeCell ref="B32:D32"/>
    <mergeCell ref="E32:I32"/>
    <mergeCell ref="P32:V32"/>
    <mergeCell ref="B33:C33"/>
    <mergeCell ref="D33:I33"/>
    <mergeCell ref="J33:L33"/>
    <mergeCell ref="M33:Q33"/>
    <mergeCell ref="R33:S33"/>
    <mergeCell ref="T33:V33"/>
    <mergeCell ref="J32:O32"/>
    <mergeCell ref="B31:I31"/>
    <mergeCell ref="M31:N31"/>
    <mergeCell ref="O31:Q31"/>
    <mergeCell ref="R31:T31"/>
    <mergeCell ref="U31:V31"/>
    <mergeCell ref="J30:L30"/>
    <mergeCell ref="M30:N30"/>
    <mergeCell ref="O30:Q30"/>
    <mergeCell ref="R30:T30"/>
    <mergeCell ref="C30:I30"/>
    <mergeCell ref="J31:L31"/>
    <mergeCell ref="C29:I29"/>
    <mergeCell ref="J29:L29"/>
    <mergeCell ref="M29:N29"/>
    <mergeCell ref="O29:Q29"/>
    <mergeCell ref="R29:T29"/>
    <mergeCell ref="U30:V30"/>
    <mergeCell ref="C27:I27"/>
    <mergeCell ref="J27:L27"/>
    <mergeCell ref="M27:N27"/>
    <mergeCell ref="O27:Q27"/>
    <mergeCell ref="R27:T27"/>
    <mergeCell ref="U27:V27"/>
    <mergeCell ref="U29:V29"/>
    <mergeCell ref="C28:I28"/>
    <mergeCell ref="J28:L28"/>
    <mergeCell ref="M28:N28"/>
    <mergeCell ref="O28:Q28"/>
    <mergeCell ref="R28:T28"/>
    <mergeCell ref="U28:V28"/>
    <mergeCell ref="C25:I25"/>
    <mergeCell ref="J25:L25"/>
    <mergeCell ref="M25:N25"/>
    <mergeCell ref="O25:Q25"/>
    <mergeCell ref="R25:T25"/>
    <mergeCell ref="U25:V25"/>
    <mergeCell ref="C26:I26"/>
    <mergeCell ref="J26:L26"/>
    <mergeCell ref="M26:N26"/>
    <mergeCell ref="O26:Q26"/>
    <mergeCell ref="R26:T26"/>
    <mergeCell ref="U26:V26"/>
    <mergeCell ref="C23:I23"/>
    <mergeCell ref="J23:L23"/>
    <mergeCell ref="M23:N23"/>
    <mergeCell ref="O23:Q23"/>
    <mergeCell ref="R23:T23"/>
    <mergeCell ref="U23:V23"/>
    <mergeCell ref="C24:I24"/>
    <mergeCell ref="J24:L24"/>
    <mergeCell ref="M24:N24"/>
    <mergeCell ref="O24:Q24"/>
    <mergeCell ref="R24:T24"/>
    <mergeCell ref="U24:V24"/>
    <mergeCell ref="C21:I21"/>
    <mergeCell ref="J21:L21"/>
    <mergeCell ref="M21:N21"/>
    <mergeCell ref="O21:Q21"/>
    <mergeCell ref="R21:T21"/>
    <mergeCell ref="U21:V21"/>
    <mergeCell ref="C22:I22"/>
    <mergeCell ref="J22:L22"/>
    <mergeCell ref="M22:N22"/>
    <mergeCell ref="O22:Q22"/>
    <mergeCell ref="R22:T22"/>
    <mergeCell ref="U22:V22"/>
    <mergeCell ref="C19:I19"/>
    <mergeCell ref="J19:L19"/>
    <mergeCell ref="M19:N19"/>
    <mergeCell ref="O19:Q19"/>
    <mergeCell ref="R19:T19"/>
    <mergeCell ref="U19:V19"/>
    <mergeCell ref="C20:I20"/>
    <mergeCell ref="J20:L20"/>
    <mergeCell ref="M20:N20"/>
    <mergeCell ref="O20:Q20"/>
    <mergeCell ref="R20:T20"/>
    <mergeCell ref="U20:V20"/>
    <mergeCell ref="C17:I17"/>
    <mergeCell ref="J17:L17"/>
    <mergeCell ref="M17:N17"/>
    <mergeCell ref="O17:Q17"/>
    <mergeCell ref="R17:T17"/>
    <mergeCell ref="U17:V17"/>
    <mergeCell ref="C18:I18"/>
    <mergeCell ref="J18:L18"/>
    <mergeCell ref="M18:N18"/>
    <mergeCell ref="O18:Q18"/>
    <mergeCell ref="R18:T18"/>
    <mergeCell ref="U18:V18"/>
    <mergeCell ref="C15:I15"/>
    <mergeCell ref="J15:L15"/>
    <mergeCell ref="M15:N15"/>
    <mergeCell ref="O15:Q15"/>
    <mergeCell ref="R15:T15"/>
    <mergeCell ref="U15:V15"/>
    <mergeCell ref="C16:I16"/>
    <mergeCell ref="J16:L16"/>
    <mergeCell ref="M16:N16"/>
    <mergeCell ref="O16:Q16"/>
    <mergeCell ref="R16:T16"/>
    <mergeCell ref="U16:V16"/>
    <mergeCell ref="C13:I13"/>
    <mergeCell ref="J13:L13"/>
    <mergeCell ref="M13:N13"/>
    <mergeCell ref="O13:Q13"/>
    <mergeCell ref="R13:T13"/>
    <mergeCell ref="U13:V13"/>
    <mergeCell ref="C14:I14"/>
    <mergeCell ref="J14:L14"/>
    <mergeCell ref="M14:N14"/>
    <mergeCell ref="O14:Q14"/>
    <mergeCell ref="R14:T14"/>
    <mergeCell ref="U14:V14"/>
    <mergeCell ref="C11:I11"/>
    <mergeCell ref="J11:L11"/>
    <mergeCell ref="M11:N11"/>
    <mergeCell ref="O11:Q11"/>
    <mergeCell ref="R11:T11"/>
    <mergeCell ref="U11:V11"/>
    <mergeCell ref="C12:I12"/>
    <mergeCell ref="J12:L12"/>
    <mergeCell ref="M12:N12"/>
    <mergeCell ref="O12:Q12"/>
    <mergeCell ref="R12:T12"/>
    <mergeCell ref="U12:V12"/>
    <mergeCell ref="C9:D9"/>
    <mergeCell ref="E9:P9"/>
    <mergeCell ref="Q9:R9"/>
    <mergeCell ref="S9:U9"/>
    <mergeCell ref="C10:I10"/>
    <mergeCell ref="J10:L10"/>
    <mergeCell ref="M10:N10"/>
    <mergeCell ref="O10:Q10"/>
    <mergeCell ref="R10:T10"/>
    <mergeCell ref="U10:V10"/>
    <mergeCell ref="F2:V2"/>
    <mergeCell ref="B3:H4"/>
    <mergeCell ref="I3:I8"/>
    <mergeCell ref="J3:L3"/>
    <mergeCell ref="M3:V4"/>
    <mergeCell ref="B5:H6"/>
    <mergeCell ref="M5:R5"/>
    <mergeCell ref="T5:V5"/>
    <mergeCell ref="M6:V7"/>
    <mergeCell ref="B7:H8"/>
    <mergeCell ref="J8:L8"/>
    <mergeCell ref="M8:P8"/>
    <mergeCell ref="Q8:R8"/>
    <mergeCell ref="S8:V8"/>
  </mergeCells>
  <phoneticPr fontId="6" type="noConversion"/>
  <printOptions horizontalCentered="1"/>
  <pageMargins left="0.25" right="0.25" top="1.01" bottom="0.49" header="0.66" footer="0.49"/>
  <pageSetup paperSize="9" scale="8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L38"/>
  <sheetViews>
    <sheetView topLeftCell="B1" zoomScale="85" zoomScaleNormal="85" workbookViewId="0">
      <pane ySplit="5" topLeftCell="A6" activePane="bottomLeft" state="frozen"/>
      <selection activeCell="B1114" sqref="B1114"/>
      <selection pane="bottomLeft" activeCell="F12" sqref="F12"/>
    </sheetView>
  </sheetViews>
  <sheetFormatPr defaultColWidth="8" defaultRowHeight="13.5"/>
  <cols>
    <col min="1" max="1" width="10" style="37" hidden="1" customWidth="1"/>
    <col min="2" max="2" width="8.5546875" style="42" bestFit="1" customWidth="1"/>
    <col min="3" max="3" width="4.6640625" style="42" customWidth="1"/>
    <col min="4" max="4" width="5.21875" style="37" bestFit="1" customWidth="1"/>
    <col min="5" max="5" width="9.6640625" style="37" bestFit="1" customWidth="1"/>
    <col min="6" max="6" width="6.109375" style="37" bestFit="1" customWidth="1"/>
    <col min="7" max="7" width="7.77734375" style="37" customWidth="1"/>
    <col min="8" max="8" width="7.88671875" style="37" bestFit="1" customWidth="1"/>
    <col min="9" max="9" width="7" style="37" bestFit="1" customWidth="1"/>
    <col min="10" max="10" width="7.6640625" style="37" customWidth="1"/>
    <col min="11" max="11" width="5.44140625" style="37" bestFit="1" customWidth="1"/>
    <col min="12" max="12" width="8" style="37" customWidth="1"/>
    <col min="13" max="13" width="9.6640625" style="37" customWidth="1"/>
    <col min="14" max="16384" width="8" style="37"/>
  </cols>
  <sheetData>
    <row r="1" spans="1:12" ht="26.25">
      <c r="A1" s="36" t="s">
        <v>37</v>
      </c>
      <c r="B1" s="102" t="s">
        <v>38</v>
      </c>
      <c r="C1" s="102"/>
      <c r="D1" s="102"/>
      <c r="E1" s="102"/>
      <c r="F1" s="102"/>
      <c r="G1" s="102"/>
      <c r="H1" s="102"/>
      <c r="I1" s="102"/>
      <c r="J1" s="102"/>
      <c r="K1" s="102"/>
    </row>
    <row r="2" spans="1:12" ht="10.5" customHeight="1">
      <c r="A2" s="38"/>
      <c r="B2" s="103"/>
      <c r="C2" s="103"/>
      <c r="D2" s="103"/>
      <c r="E2" s="103"/>
      <c r="F2" s="38"/>
      <c r="G2" s="38"/>
      <c r="H2" s="39"/>
      <c r="I2" s="40"/>
      <c r="J2" s="38"/>
      <c r="K2" s="38"/>
    </row>
    <row r="3" spans="1:12">
      <c r="A3" s="104" t="s">
        <v>39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1" t="s">
        <v>73</v>
      </c>
    </row>
    <row r="4" spans="1:12" ht="13.5" customHeight="1">
      <c r="A4" s="105" t="s">
        <v>40</v>
      </c>
      <c r="B4" s="106" t="s">
        <v>41</v>
      </c>
      <c r="C4" s="106" t="s">
        <v>42</v>
      </c>
      <c r="D4" s="105" t="s">
        <v>43</v>
      </c>
      <c r="E4" s="105"/>
      <c r="F4" s="105"/>
      <c r="G4" s="105" t="s">
        <v>44</v>
      </c>
      <c r="H4" s="105" t="s">
        <v>45</v>
      </c>
      <c r="I4" s="105" t="s">
        <v>46</v>
      </c>
      <c r="J4" s="105" t="s">
        <v>47</v>
      </c>
      <c r="K4" s="105" t="s">
        <v>48</v>
      </c>
      <c r="L4" s="101"/>
    </row>
    <row r="5" spans="1:12" ht="24">
      <c r="A5" s="105"/>
      <c r="B5" s="106"/>
      <c r="C5" s="106"/>
      <c r="D5" s="44" t="s">
        <v>49</v>
      </c>
      <c r="E5" s="44" t="s">
        <v>50</v>
      </c>
      <c r="F5" s="44" t="s">
        <v>51</v>
      </c>
      <c r="G5" s="105"/>
      <c r="H5" s="105"/>
      <c r="I5" s="105"/>
      <c r="J5" s="105"/>
      <c r="K5" s="105"/>
      <c r="L5" s="101"/>
    </row>
    <row r="6" spans="1:12">
      <c r="B6" s="43" t="s">
        <v>52</v>
      </c>
      <c r="C6" s="43" t="s">
        <v>53</v>
      </c>
      <c r="D6" s="43">
        <v>11</v>
      </c>
      <c r="E6" s="43">
        <v>2870</v>
      </c>
      <c r="F6" s="43">
        <v>6134</v>
      </c>
      <c r="G6" s="43">
        <v>1520.2</v>
      </c>
      <c r="H6" s="43">
        <v>1024.9000000000001</v>
      </c>
      <c r="I6" s="43">
        <v>495</v>
      </c>
      <c r="J6" s="43">
        <v>219.6</v>
      </c>
      <c r="K6" s="43">
        <v>51.3</v>
      </c>
      <c r="L6" s="41"/>
    </row>
    <row r="7" spans="1:12">
      <c r="B7" s="41" t="s">
        <v>54</v>
      </c>
      <c r="C7" s="41" t="s">
        <v>53</v>
      </c>
      <c r="D7" s="41">
        <v>10</v>
      </c>
      <c r="E7" s="41">
        <v>869</v>
      </c>
      <c r="F7" s="41">
        <v>1309</v>
      </c>
      <c r="G7" s="41">
        <v>89.3</v>
      </c>
      <c r="H7" s="41">
        <v>25.8</v>
      </c>
      <c r="I7" s="41">
        <v>63</v>
      </c>
      <c r="J7" s="41">
        <v>21</v>
      </c>
      <c r="K7" s="41">
        <v>0</v>
      </c>
      <c r="L7" s="41"/>
    </row>
    <row r="8" spans="1:12">
      <c r="B8" s="41" t="s">
        <v>54</v>
      </c>
      <c r="C8" s="41" t="s">
        <v>53</v>
      </c>
      <c r="D8" s="41">
        <v>10</v>
      </c>
      <c r="E8" s="41">
        <v>869</v>
      </c>
      <c r="F8" s="41">
        <v>1309</v>
      </c>
      <c r="G8" s="41">
        <v>89.3</v>
      </c>
      <c r="H8" s="41">
        <v>25.8</v>
      </c>
      <c r="I8" s="41">
        <v>63</v>
      </c>
      <c r="J8" s="41">
        <v>21</v>
      </c>
      <c r="K8" s="41">
        <v>0</v>
      </c>
      <c r="L8" s="41"/>
    </row>
    <row r="9" spans="1:12">
      <c r="B9" s="41" t="s">
        <v>55</v>
      </c>
      <c r="C9" s="41" t="s">
        <v>53</v>
      </c>
      <c r="D9" s="41">
        <v>12</v>
      </c>
      <c r="E9" s="41">
        <v>1441</v>
      </c>
      <c r="F9" s="41">
        <v>2089</v>
      </c>
      <c r="G9" s="41">
        <v>283.60000000000002</v>
      </c>
      <c r="H9" s="41">
        <v>153.5</v>
      </c>
      <c r="I9" s="41">
        <v>130</v>
      </c>
      <c r="J9" s="41">
        <v>71.099999999999994</v>
      </c>
      <c r="K9" s="41">
        <v>0</v>
      </c>
      <c r="L9" s="41"/>
    </row>
    <row r="10" spans="1:12">
      <c r="B10" s="41" t="s">
        <v>56</v>
      </c>
      <c r="C10" s="41" t="s">
        <v>53</v>
      </c>
      <c r="D10" s="41">
        <v>6</v>
      </c>
      <c r="E10" s="41">
        <v>640</v>
      </c>
      <c r="F10" s="41">
        <v>795</v>
      </c>
      <c r="G10" s="41">
        <v>24</v>
      </c>
      <c r="H10" s="41">
        <v>19.8</v>
      </c>
      <c r="I10" s="41">
        <v>4</v>
      </c>
      <c r="J10" s="41">
        <v>2.6</v>
      </c>
      <c r="K10" s="41">
        <v>0</v>
      </c>
      <c r="L10" s="41"/>
    </row>
    <row r="11" spans="1:12">
      <c r="B11" s="41" t="s">
        <v>57</v>
      </c>
      <c r="C11" s="41" t="s">
        <v>53</v>
      </c>
      <c r="D11" s="41">
        <v>12</v>
      </c>
      <c r="E11" s="41">
        <v>2430</v>
      </c>
      <c r="F11" s="41">
        <v>6600</v>
      </c>
      <c r="G11" s="41">
        <v>1510.8</v>
      </c>
      <c r="H11" s="41">
        <v>689.4</v>
      </c>
      <c r="I11" s="41">
        <v>821</v>
      </c>
      <c r="J11" s="41">
        <v>167.4</v>
      </c>
      <c r="K11" s="41">
        <v>0</v>
      </c>
      <c r="L11" s="41"/>
    </row>
    <row r="12" spans="1:12">
      <c r="B12" s="41" t="s">
        <v>58</v>
      </c>
      <c r="C12" s="41" t="s">
        <v>53</v>
      </c>
      <c r="D12" s="41">
        <v>12</v>
      </c>
      <c r="E12" s="41">
        <v>2430</v>
      </c>
      <c r="F12" s="41">
        <v>2965</v>
      </c>
      <c r="G12" s="41">
        <v>678.7</v>
      </c>
      <c r="H12" s="41">
        <v>276.10000000000002</v>
      </c>
      <c r="I12" s="41">
        <v>402</v>
      </c>
      <c r="J12" s="41">
        <v>99.1</v>
      </c>
      <c r="K12" s="41">
        <v>0</v>
      </c>
      <c r="L12" s="41"/>
    </row>
    <row r="13" spans="1:12">
      <c r="B13" s="41" t="s">
        <v>59</v>
      </c>
      <c r="C13" s="41" t="s">
        <v>53</v>
      </c>
      <c r="D13" s="41">
        <v>6</v>
      </c>
      <c r="E13" s="41">
        <v>1255</v>
      </c>
      <c r="F13" s="41">
        <v>1428</v>
      </c>
      <c r="G13" s="41">
        <v>84.4</v>
      </c>
      <c r="H13" s="41">
        <v>34.299999999999997</v>
      </c>
      <c r="I13" s="41">
        <v>50</v>
      </c>
      <c r="J13" s="41">
        <v>13.3</v>
      </c>
      <c r="K13" s="41">
        <v>0</v>
      </c>
      <c r="L13" s="41"/>
    </row>
    <row r="14" spans="1:12">
      <c r="B14" s="41" t="s">
        <v>60</v>
      </c>
      <c r="C14" s="41" t="s">
        <v>61</v>
      </c>
      <c r="D14" s="41">
        <v>20</v>
      </c>
      <c r="E14" s="41">
        <v>200</v>
      </c>
      <c r="F14" s="41">
        <v>494</v>
      </c>
      <c r="G14" s="41">
        <v>15.5</v>
      </c>
      <c r="H14" s="41">
        <v>11.5</v>
      </c>
      <c r="I14" s="41">
        <v>4</v>
      </c>
      <c r="J14" s="41">
        <v>2.1</v>
      </c>
      <c r="K14" s="41">
        <v>0</v>
      </c>
      <c r="L14" s="41"/>
    </row>
    <row r="15" spans="1:12">
      <c r="B15" s="41" t="s">
        <v>62</v>
      </c>
      <c r="C15" s="41" t="s">
        <v>61</v>
      </c>
      <c r="D15" s="41">
        <v>15</v>
      </c>
      <c r="E15" s="41">
        <v>715</v>
      </c>
      <c r="F15" s="41">
        <v>916</v>
      </c>
      <c r="G15" s="41">
        <v>77.099999999999994</v>
      </c>
      <c r="H15" s="41">
        <v>56.5</v>
      </c>
      <c r="I15" s="41">
        <v>20</v>
      </c>
      <c r="J15" s="41">
        <v>7.6</v>
      </c>
      <c r="K15" s="41">
        <v>0</v>
      </c>
      <c r="L15" s="41"/>
    </row>
    <row r="16" spans="1:12">
      <c r="B16" s="41" t="s">
        <v>63</v>
      </c>
      <c r="C16" s="41" t="s">
        <v>61</v>
      </c>
      <c r="D16" s="41">
        <v>6</v>
      </c>
      <c r="E16" s="41">
        <v>2450</v>
      </c>
      <c r="F16" s="41">
        <v>10000</v>
      </c>
      <c r="G16" s="41">
        <v>1153.9000000000001</v>
      </c>
      <c r="H16" s="41">
        <v>251.7</v>
      </c>
      <c r="I16" s="41">
        <v>902</v>
      </c>
      <c r="J16" s="41">
        <v>13.9</v>
      </c>
      <c r="K16" s="41">
        <v>12</v>
      </c>
      <c r="L16" s="41"/>
    </row>
    <row r="17" spans="2:12">
      <c r="B17" s="41" t="s">
        <v>64</v>
      </c>
      <c r="C17" s="41" t="s">
        <v>53</v>
      </c>
      <c r="D17" s="41">
        <v>12</v>
      </c>
      <c r="E17" s="41">
        <v>705</v>
      </c>
      <c r="F17" s="41">
        <v>1550</v>
      </c>
      <c r="G17" s="41">
        <v>102.9</v>
      </c>
      <c r="H17" s="41">
        <v>61.2</v>
      </c>
      <c r="I17" s="41">
        <v>41</v>
      </c>
      <c r="J17" s="41">
        <v>21.7</v>
      </c>
      <c r="K17" s="41">
        <v>0</v>
      </c>
      <c r="L17" s="41"/>
    </row>
    <row r="18" spans="2:12">
      <c r="B18" s="41" t="s">
        <v>65</v>
      </c>
      <c r="C18" s="41" t="s">
        <v>53</v>
      </c>
      <c r="D18" s="41">
        <v>25</v>
      </c>
      <c r="E18" s="41">
        <v>1920</v>
      </c>
      <c r="F18" s="41">
        <v>6990</v>
      </c>
      <c r="G18" s="41">
        <v>2633.8</v>
      </c>
      <c r="H18" s="41">
        <v>1566.3</v>
      </c>
      <c r="I18" s="41">
        <v>1067</v>
      </c>
      <c r="J18" s="41">
        <v>193.7</v>
      </c>
      <c r="K18" s="41">
        <v>0</v>
      </c>
      <c r="L18" s="41"/>
    </row>
    <row r="19" spans="2:12">
      <c r="B19" s="41" t="s">
        <v>66</v>
      </c>
      <c r="C19" s="41" t="s">
        <v>61</v>
      </c>
      <c r="D19" s="41">
        <v>20</v>
      </c>
      <c r="E19" s="41">
        <v>502</v>
      </c>
      <c r="F19" s="41">
        <v>794</v>
      </c>
      <c r="G19" s="41">
        <v>62.6</v>
      </c>
      <c r="H19" s="41">
        <v>43.7</v>
      </c>
      <c r="I19" s="41">
        <v>18</v>
      </c>
      <c r="J19" s="41">
        <v>4.3</v>
      </c>
      <c r="K19" s="41">
        <v>0</v>
      </c>
      <c r="L19" s="41"/>
    </row>
    <row r="20" spans="2:12"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</row>
    <row r="21" spans="2:12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2" spans="2:12"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</row>
    <row r="23" spans="2:12"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</row>
    <row r="24" spans="2:12"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</row>
    <row r="25" spans="2:12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</row>
    <row r="26" spans="2:12"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</row>
    <row r="27" spans="2:12"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</row>
    <row r="28" spans="2:12"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</row>
    <row r="29" spans="2:12"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</row>
    <row r="30" spans="2:12"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</row>
    <row r="31" spans="2:12"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</row>
    <row r="32" spans="2:12"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</row>
    <row r="33" spans="2:12"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</row>
    <row r="34" spans="2:12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</row>
    <row r="35" spans="2:12"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</row>
    <row r="36" spans="2:12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</row>
    <row r="37" spans="2:12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</row>
    <row r="38" spans="2:12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</row>
  </sheetData>
  <mergeCells count="13">
    <mergeCell ref="L3:L5"/>
    <mergeCell ref="B1:K1"/>
    <mergeCell ref="B2:E2"/>
    <mergeCell ref="A3:K3"/>
    <mergeCell ref="A4:A5"/>
    <mergeCell ref="B4:B5"/>
    <mergeCell ref="C4:C5"/>
    <mergeCell ref="D4:F4"/>
    <mergeCell ref="G4:G5"/>
    <mergeCell ref="H4:H5"/>
    <mergeCell ref="I4:I5"/>
    <mergeCell ref="J4:J5"/>
    <mergeCell ref="K4:K5"/>
  </mergeCells>
  <phoneticPr fontId="6" type="noConversion"/>
  <dataValidations count="1">
    <dataValidation allowBlank="1" showErrorMessage="1" sqref="A3:A4 D5:F5 B4:D4 G4:K4 A2:B2 F2:K2 A6:K1048576"/>
  </dataValidations>
  <pageMargins left="0.2" right="0.2" top="0.38" bottom="0.38" header="0.16" footer="0.19"/>
  <pageSetup paperSize="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제작 단가</vt:lpstr>
      <vt:lpstr>기성청구서</vt:lpstr>
      <vt:lpstr>추가상세내역</vt:lpstr>
      <vt:lpstr>기성청구서!Print_Area</vt:lpstr>
      <vt:lpstr>'제작 단가'!Print_Area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2026-06-04T05:21:40Z</cp:lastPrinted>
  <dcterms:created xsi:type="dcterms:W3CDTF">2026-05-08T00:43:04Z</dcterms:created>
  <dcterms:modified xsi:type="dcterms:W3CDTF">2026-07-04T02:00:09Z</dcterms:modified>
</cp:coreProperties>
</file>