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동현황" sheetId="1" state="visible" r:id="rId1"/>
    <sheet name="주간업무계획표" sheetId="2" state="visible" r:id="rId2"/>
    <sheet name="업무보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mm&quot;월&quot;\ dd&quot;일&quot;"/>
  </numFmts>
  <fonts count="25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22"/>
    </font>
    <font>
      <name val="맑은 고딕"/>
      <charset val="129"/>
      <family val="3"/>
      <color rgb="FF595959"/>
      <sz val="11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color theme="1"/>
      <sz val="16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5"/>
    </font>
    <font>
      <name val="맑은 고딕"/>
      <charset val="129"/>
      <family val="3"/>
      <b val="1"/>
      <color rgb="FF000000"/>
      <sz val="18"/>
    </font>
    <font>
      <name val="맑은 고딕"/>
      <charset val="129"/>
      <family val="3"/>
      <b val="1"/>
      <color theme="1"/>
      <sz val="18"/>
    </font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C00000"/>
      <sz val="20"/>
    </font>
    <font>
      <name val="Noto Sans CJK SC"/>
      <charset val="129"/>
      <family val="3"/>
      <color rgb="FF595959"/>
      <sz val="11"/>
    </font>
    <font>
      <name val="맑은 고딕"/>
      <charset val="129"/>
      <family val="3"/>
      <b val="1"/>
      <color rgb="FFC00000"/>
      <sz val="11"/>
    </font>
    <font>
      <name val="굴림체"/>
      <charset val="129"/>
      <family val="3"/>
      <b val="1"/>
      <sz val="18"/>
    </font>
    <font>
      <name val="굴림체"/>
      <charset val="129"/>
      <family val="3"/>
      <b val="1"/>
      <sz val="12"/>
    </font>
    <font>
      <name val="굴림체"/>
      <charset val="129"/>
      <family val="3"/>
      <b val="1"/>
      <sz val="11"/>
    </font>
    <font>
      <name val="굴림체"/>
      <charset val="129"/>
      <family val="3"/>
      <i val="1"/>
      <sz val="12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rgb="FF0066CC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indexed="64"/>
      </patternFill>
    </fill>
  </fills>
  <borders count="65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A6A6A6"/>
      </left>
      <right style="thin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thin">
        <color rgb="FFA6A6A6"/>
      </right>
      <top style="medium">
        <color rgb="FFA6A6A6"/>
      </top>
      <bottom style="medium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/>
      <right style="thin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/>
      <bottom/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40404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164" fontId="5" fillId="4" borderId="5" applyAlignment="1" pivotButton="0" quotePrefix="0" xfId="0">
      <alignment horizontal="center" vertical="center" wrapText="1"/>
    </xf>
    <xf numFmtId="164" fontId="6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164" fontId="6" fillId="4" borderId="9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6" fillId="5" borderId="1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 wrapText="1"/>
    </xf>
    <xf numFmtId="164" fontId="5" fillId="5" borderId="5" applyAlignment="1" pivotButton="0" quotePrefix="0" xfId="0">
      <alignment horizontal="center" vertical="center" wrapText="1"/>
    </xf>
    <xf numFmtId="164" fontId="6" fillId="5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164" fontId="8" fillId="4" borderId="5" applyAlignment="1" pivotButton="0" quotePrefix="0" xfId="0">
      <alignment horizontal="center" vertical="center" wrapText="1"/>
    </xf>
    <xf numFmtId="164" fontId="6" fillId="4" borderId="3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4" fontId="8" fillId="0" borderId="5" applyAlignment="1" pivotButton="0" quotePrefix="0" xfId="0">
      <alignment horizontal="center" vertical="center" wrapText="1"/>
    </xf>
    <xf numFmtId="164" fontId="6" fillId="5" borderId="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164" fontId="8" fillId="0" borderId="12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 wrapText="1"/>
    </xf>
    <xf numFmtId="164" fontId="6" fillId="5" borderId="9" applyAlignment="1" pivotButton="0" quotePrefix="0" xfId="0">
      <alignment horizontal="center" vertical="center" wrapText="1"/>
    </xf>
    <xf numFmtId="0" fontId="9" fillId="6" borderId="13" applyAlignment="1" pivotButton="0" quotePrefix="0" xfId="0">
      <alignment horizontal="center" vertical="center" wrapText="1"/>
    </xf>
    <xf numFmtId="164" fontId="10" fillId="6" borderId="14" applyAlignment="1" pivotButton="0" quotePrefix="0" xfId="0">
      <alignment horizontal="center" vertical="center" wrapText="1"/>
    </xf>
    <xf numFmtId="164" fontId="9" fillId="6" borderId="15" applyAlignment="1" pivotButton="0" quotePrefix="0" xfId="0">
      <alignment horizontal="center" vertical="center" wrapText="1"/>
    </xf>
    <xf numFmtId="0" fontId="10" fillId="7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165" fontId="12" fillId="0" borderId="1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65" fontId="14" fillId="5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16" fillId="5" borderId="22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/>
    </xf>
    <xf numFmtId="0" fontId="16" fillId="3" borderId="24" applyAlignment="1" pivotButton="0" quotePrefix="0" xfId="0">
      <alignment horizontal="center" vertical="center" wrapText="1"/>
    </xf>
    <xf numFmtId="0" fontId="16" fillId="7" borderId="24" applyAlignment="1" pivotButton="0" quotePrefix="0" xfId="0">
      <alignment horizontal="center" vertical="center" wrapText="1"/>
    </xf>
    <xf numFmtId="0" fontId="16" fillId="8" borderId="24" applyAlignment="1" pivotButton="0" quotePrefix="0" xfId="0">
      <alignment horizontal="center" vertical="center" wrapText="1"/>
    </xf>
    <xf numFmtId="0" fontId="16" fillId="5" borderId="24" applyAlignment="1" pivotButton="0" quotePrefix="0" xfId="0">
      <alignment horizontal="center" vertical="center" wrapText="1"/>
    </xf>
    <xf numFmtId="0" fontId="16" fillId="5" borderId="24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26" pivotButton="0" quotePrefix="0" xfId="0"/>
    <xf numFmtId="0" fontId="17" fillId="5" borderId="24" applyAlignment="1" pivotButton="0" quotePrefix="0" xfId="0">
      <alignment horizontal="center" vertical="center" wrapText="1"/>
    </xf>
    <xf numFmtId="0" fontId="18" fillId="5" borderId="24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0" fontId="16" fillId="3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17" fillId="5" borderId="30" applyAlignment="1" pivotButton="0" quotePrefix="0" xfId="0">
      <alignment vertical="center"/>
    </xf>
    <xf numFmtId="0" fontId="17" fillId="5" borderId="31" applyAlignment="1" pivotButton="0" quotePrefix="0" xfId="0">
      <alignment vertical="center"/>
    </xf>
    <xf numFmtId="0" fontId="17" fillId="5" borderId="32" applyAlignment="1" pivotButton="0" quotePrefix="0" xfId="0">
      <alignment vertical="center"/>
    </xf>
    <xf numFmtId="0" fontId="17" fillId="5" borderId="33" applyAlignment="1" pivotButton="0" quotePrefix="0" xfId="0">
      <alignment horizontal="center" vertical="center"/>
    </xf>
    <xf numFmtId="0" fontId="17" fillId="5" borderId="33" applyAlignment="1" pivotButton="0" quotePrefix="0" xfId="0">
      <alignment vertical="center"/>
    </xf>
    <xf numFmtId="0" fontId="17" fillId="5" borderId="34" applyAlignment="1" pivotButton="0" quotePrefix="0" xfId="0">
      <alignment vertical="center"/>
    </xf>
    <xf numFmtId="0" fontId="19" fillId="0" borderId="37" applyAlignment="1" pivotButton="0" quotePrefix="0" xfId="0">
      <alignment horizontal="center" vertical="center"/>
    </xf>
    <xf numFmtId="0" fontId="0" fillId="0" borderId="38" pivotButton="0" quotePrefix="0" xfId="0"/>
    <xf numFmtId="0" fontId="21" fillId="0" borderId="39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19" fillId="0" borderId="42" applyAlignment="1" pivotButton="0" quotePrefix="0" xfId="0">
      <alignment horizontal="center" vertical="center"/>
    </xf>
    <xf numFmtId="0" fontId="0" fillId="0" borderId="43" pivotButton="0" quotePrefix="0" xfId="0"/>
    <xf numFmtId="167" fontId="19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19" fillId="0" borderId="48" applyAlignment="1" pivotButton="0" quotePrefix="0" xfId="0">
      <alignment horizontal="center" vertical="center"/>
    </xf>
    <xf numFmtId="0" fontId="0" fillId="0" borderId="49" pivotButton="0" quotePrefix="0" xfId="0"/>
    <xf numFmtId="0" fontId="19" fillId="0" borderId="50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49" fontId="22" fillId="0" borderId="53" applyAlignment="1" pivotButton="0" quotePrefix="0" xfId="0">
      <alignment horizontal="left" vertical="center" wrapText="1"/>
    </xf>
    <xf numFmtId="0" fontId="0" fillId="0" borderId="54" pivotButton="0" quotePrefix="0" xfId="0"/>
    <xf numFmtId="49" fontId="22" fillId="0" borderId="53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55" pivotButton="0" quotePrefix="0" xfId="0"/>
    <xf numFmtId="0" fontId="20" fillId="0" borderId="0" applyAlignment="1" pivotButton="0" quotePrefix="0" xfId="0">
      <alignment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49" fontId="23" fillId="9" borderId="59" applyAlignment="1" pivotButton="0" quotePrefix="0" xfId="0">
      <alignment horizontal="center" vertical="center"/>
    </xf>
    <xf numFmtId="0" fontId="0" fillId="0" borderId="60" pivotButton="0" quotePrefix="0" xfId="0"/>
    <xf numFmtId="49" fontId="24" fillId="0" borderId="61" applyAlignment="1" pivotButton="0" quotePrefix="0" xfId="0">
      <alignment horizontal="left" vertical="center" wrapText="1" indent="1"/>
    </xf>
    <xf numFmtId="0" fontId="0" fillId="0" borderId="62" pivotButton="0" quotePrefix="0" xfId="0"/>
    <xf numFmtId="0" fontId="0" fillId="0" borderId="6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9" customWidth="1" min="1" max="1"/>
    <col width="25.7109375" customWidth="1" min="2" max="2"/>
    <col width="21.28515625" customWidth="1" min="8" max="8"/>
  </cols>
  <sheetData>
    <row r="1" ht="30" customHeight="1">
      <c r="A1" s="1" t="inlineStr">
        <is>
          <t>프라즈마 절단기 주간 가동현황 (별첨)</t>
        </is>
      </c>
    </row>
    <row r="2" ht="15" customHeight="1">
      <c r="A2" s="2" t="n"/>
    </row>
    <row r="3" ht="34.5" customHeight="1">
      <c r="A3" s="3" t="inlineStr">
        <is>
          <t>구분</t>
        </is>
      </c>
      <c r="B3" s="4" t="n"/>
      <c r="C3" s="4" t="n"/>
      <c r="D3" s="4" t="n"/>
      <c r="E3" s="4" t="n"/>
      <c r="F3" s="4" t="n"/>
      <c r="G3" s="4" t="n"/>
      <c r="H3" s="5" t="inlineStr">
        <is>
          <t>주간 합계</t>
        </is>
      </c>
    </row>
    <row r="4" ht="35.1" customHeight="1">
      <c r="A4" s="6" t="inlineStr">
        <is>
          <t>[1호기] 가동시간(h)</t>
        </is>
      </c>
      <c r="B4" s="7" t="n"/>
      <c r="C4" s="7" t="n"/>
      <c r="D4" s="7" t="n"/>
      <c r="E4" s="7" t="n"/>
      <c r="F4" s="7" t="n"/>
      <c r="G4" s="7" t="n"/>
      <c r="H4" s="8">
        <f>SUM(B4:G4)</f>
        <v/>
      </c>
    </row>
    <row r="5" ht="35.1" customHeight="1">
      <c r="A5" s="6" t="inlineStr">
        <is>
          <t>절단물량(ton)</t>
        </is>
      </c>
      <c r="B5" s="7" t="n"/>
      <c r="C5" s="7" t="n"/>
      <c r="D5" s="7" t="n"/>
      <c r="E5" s="7" t="n"/>
      <c r="F5" s="7" t="n"/>
      <c r="G5" s="7" t="n"/>
      <c r="H5" s="8">
        <f>SUM(B5:G5)</f>
        <v/>
      </c>
    </row>
    <row r="6" ht="35.1" customHeight="1">
      <c r="A6" s="6" t="inlineStr">
        <is>
          <t>미가동 시간(h)</t>
        </is>
      </c>
      <c r="B6" s="7" t="n"/>
      <c r="C6" s="7" t="n"/>
      <c r="D6" s="7" t="n"/>
      <c r="E6" s="7" t="n"/>
      <c r="F6" s="7" t="n"/>
      <c r="G6" s="7" t="n"/>
      <c r="H6" s="8">
        <f>SUM(B6:G6)</f>
        <v/>
      </c>
    </row>
    <row r="7" ht="35.1" customHeight="1">
      <c r="A7" s="9" t="inlineStr">
        <is>
          <t>특이사항</t>
        </is>
      </c>
      <c r="B7" s="10" t="n"/>
      <c r="C7" s="10" t="n"/>
      <c r="D7" s="10" t="n"/>
      <c r="E7" s="10" t="n"/>
      <c r="F7" s="10" t="n"/>
      <c r="G7" s="10" t="n"/>
      <c r="H7" s="11" t="n"/>
    </row>
    <row r="8" ht="35.1" customHeight="1">
      <c r="A8" s="12" t="inlineStr">
        <is>
          <t>[2호기] 가동시간(h)</t>
        </is>
      </c>
      <c r="B8" s="13" t="n"/>
      <c r="C8" s="13" t="n"/>
      <c r="D8" s="13" t="n"/>
      <c r="E8" s="13" t="n"/>
      <c r="F8" s="13" t="n"/>
      <c r="G8" s="13" t="n"/>
      <c r="H8" s="14">
        <f>SUM(B8:G8)</f>
        <v/>
      </c>
    </row>
    <row r="9" ht="35.1" customHeight="1">
      <c r="A9" s="15" t="inlineStr">
        <is>
          <t>절단물량(ton)</t>
        </is>
      </c>
      <c r="B9" s="16" t="n"/>
      <c r="C9" s="16" t="n"/>
      <c r="D9" s="17" t="n"/>
      <c r="E9" s="16" t="n"/>
      <c r="F9" s="16" t="n"/>
      <c r="G9" s="16" t="n"/>
      <c r="H9" s="18">
        <f>SUM(B9:G9)</f>
        <v/>
      </c>
    </row>
    <row r="10" ht="35.1" customHeight="1">
      <c r="A10" s="15" t="inlineStr">
        <is>
          <t>미가동 시간(h)</t>
        </is>
      </c>
      <c r="B10" s="16" t="n"/>
      <c r="C10" s="16" t="n"/>
      <c r="D10" s="16" t="n"/>
      <c r="E10" s="16" t="n"/>
      <c r="F10" s="16" t="n"/>
      <c r="G10" s="16" t="n"/>
      <c r="H10" s="18">
        <f>SUM(B10:G10)</f>
        <v/>
      </c>
    </row>
    <row r="11" ht="35.1" customHeight="1">
      <c r="A11" s="19" t="inlineStr">
        <is>
          <t>특이사항</t>
        </is>
      </c>
      <c r="B11" s="20" t="n"/>
      <c r="C11" s="20" t="n"/>
      <c r="D11" s="20" t="n"/>
      <c r="E11" s="20" t="n"/>
      <c r="F11" s="20" t="n"/>
      <c r="G11" s="20" t="n"/>
      <c r="H11" s="21" t="n"/>
    </row>
    <row r="12" ht="35.1" customHeight="1">
      <c r="A12" s="22" t="inlineStr">
        <is>
          <t>[3호기] 가동시간(h)</t>
        </is>
      </c>
      <c r="B12" s="23" t="n"/>
      <c r="C12" s="23" t="n"/>
      <c r="D12" s="24" t="n"/>
      <c r="E12" s="23" t="n"/>
      <c r="F12" s="23" t="n"/>
      <c r="G12" s="23" t="n"/>
      <c r="H12" s="25">
        <f>SUM(B12:G12)</f>
        <v/>
      </c>
    </row>
    <row r="13" ht="35.1" customHeight="1">
      <c r="A13" s="6" t="inlineStr">
        <is>
          <t>절단물량(ton)</t>
        </is>
      </c>
      <c r="B13" s="24" t="n"/>
      <c r="C13" s="24" t="n"/>
      <c r="D13" s="24" t="n"/>
      <c r="E13" s="24" t="n"/>
      <c r="F13" s="24" t="n"/>
      <c r="G13" s="24" t="n"/>
      <c r="H13" s="8">
        <f>SUM(B13:G13)</f>
        <v/>
      </c>
    </row>
    <row r="14" ht="35.1" customHeight="1">
      <c r="A14" s="6" t="inlineStr">
        <is>
          <t>미가동 시간(h)</t>
        </is>
      </c>
      <c r="B14" s="24" t="n"/>
      <c r="C14" s="24" t="n"/>
      <c r="D14" s="24" t="n"/>
      <c r="E14" s="24" t="n"/>
      <c r="F14" s="24" t="n"/>
      <c r="G14" s="24" t="n"/>
      <c r="H14" s="8">
        <f>SUM(B14:G14)</f>
        <v/>
      </c>
    </row>
    <row r="15" ht="35.1" customHeight="1">
      <c r="A15" s="9" t="inlineStr">
        <is>
          <t>특이사항</t>
        </is>
      </c>
      <c r="B15" s="10" t="n"/>
      <c r="C15" s="10" t="n"/>
      <c r="D15" s="10" t="n"/>
      <c r="E15" s="10" t="n"/>
      <c r="F15" s="10" t="n"/>
      <c r="G15" s="10" t="n"/>
      <c r="H15" s="11" t="n"/>
    </row>
    <row r="16" ht="35.1" customHeight="1">
      <c r="A16" s="12" t="inlineStr">
        <is>
          <t>[4호기] 가동시간(h)</t>
        </is>
      </c>
      <c r="B16" s="26" t="n"/>
      <c r="C16" s="27" t="n"/>
      <c r="D16" s="26" t="n"/>
      <c r="E16" s="26" t="n"/>
      <c r="F16" s="26" t="n"/>
      <c r="G16" s="26" t="n"/>
      <c r="H16" s="28">
        <f>SUM(B16:G16)</f>
        <v/>
      </c>
    </row>
    <row r="17" ht="35.1" customHeight="1">
      <c r="A17" s="15" t="inlineStr">
        <is>
          <t>절단물량(ton)</t>
        </is>
      </c>
      <c r="B17" s="27" t="n"/>
      <c r="C17" s="27" t="n"/>
      <c r="D17" s="27" t="n"/>
      <c r="E17" s="27" t="n"/>
      <c r="F17" s="27" t="n"/>
      <c r="G17" s="27" t="n"/>
      <c r="H17" s="18">
        <f>SUM(B17:G17)</f>
        <v/>
      </c>
    </row>
    <row r="18" ht="35.1" customHeight="1">
      <c r="A18" s="29" t="inlineStr">
        <is>
          <t>미가동 시간(h)</t>
        </is>
      </c>
      <c r="B18" s="30" t="n"/>
      <c r="C18" s="30" t="n"/>
      <c r="D18" s="30" t="n"/>
      <c r="E18" s="31" t="n"/>
      <c r="F18" s="30" t="n"/>
      <c r="G18" s="30" t="n"/>
      <c r="H18" s="18">
        <f>SUM(B18:G18)</f>
        <v/>
      </c>
    </row>
    <row r="19" ht="35.1" customHeight="1">
      <c r="A19" s="19" t="inlineStr">
        <is>
          <t>특이사항</t>
        </is>
      </c>
      <c r="B19" s="20" t="n"/>
      <c r="C19" s="20" t="n"/>
      <c r="D19" s="20" t="n"/>
      <c r="E19" s="32" t="n"/>
      <c r="F19" s="20" t="n"/>
      <c r="G19" s="20" t="n"/>
      <c r="H19" s="33" t="n"/>
    </row>
    <row r="20" ht="35.1" customHeight="1">
      <c r="A20" s="34" t="inlineStr">
        <is>
          <t>일절단량</t>
        </is>
      </c>
      <c r="B20" s="35">
        <f>B5+B9+B13+B17</f>
        <v/>
      </c>
      <c r="C20" s="35">
        <f>C5+C9+C13+C17</f>
        <v/>
      </c>
      <c r="D20" s="35">
        <f>D5+D9+D13+D17</f>
        <v/>
      </c>
      <c r="E20" s="35">
        <f>E5+E9+E13+E17</f>
        <v/>
      </c>
      <c r="F20" s="35">
        <f>F5+F9+F13+F17</f>
        <v/>
      </c>
      <c r="G20" s="35">
        <f>G5+G9+G13+G17</f>
        <v/>
      </c>
      <c r="H20" s="36">
        <f>SUM(B20:G20)</f>
        <v/>
      </c>
    </row>
    <row r="21" ht="45.75" customHeight="1">
      <c r="A21" s="37" t="inlineStr">
        <is>
          <t>■ 프라즈마 전체(4대) 평균 가동률</t>
        </is>
      </c>
      <c r="B21" s="38" t="n"/>
      <c r="C21" s="38" t="n"/>
      <c r="D21" s="38" t="n"/>
      <c r="E21" s="39" t="n"/>
      <c r="F21" s="40">
        <f>(H16+H12+H8+H4)/(H18+H16+H14+H12+H10+H8+H6+H4)</f>
        <v/>
      </c>
      <c r="G21" s="38" t="n"/>
      <c r="H21" s="39" t="n"/>
    </row>
    <row r="22" ht="27" customHeight="1">
      <c r="A22" s="41" t="inlineStr">
        <is>
          <t>※ 가동률 = 가동시간(고장시간만 고려) ÷ 가동가능시간 (월화목금(15시간),수토(8시간))</t>
        </is>
      </c>
      <c r="H22" s="42" t="n"/>
    </row>
  </sheetData>
  <mergeCells count="5">
    <mergeCell ref="A21:E21"/>
    <mergeCell ref="A2:H2"/>
    <mergeCell ref="A22:G22"/>
    <mergeCell ref="A1:H1"/>
    <mergeCell ref="F21:H21"/>
  </mergeCells>
  <printOptions horizontalCentered="1"/>
  <pageMargins left="0.7480314960629921" right="0.7480314960629921" top="0.984251968503937" bottom="0.984251968503937" header="0.5118110236220472" footer="0.5118110236220472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.28515625" customWidth="1" min="1" max="1"/>
    <col width="17.140625" customWidth="1" min="2" max="2"/>
    <col width="33.42578125" customWidth="1" min="3" max="3"/>
    <col width="30.7109375" customWidth="1" min="4" max="4"/>
    <col width="10.42578125" customWidth="1" min="5" max="5"/>
    <col width="8.7109375" customWidth="1" min="6" max="6"/>
  </cols>
  <sheetData>
    <row r="1" ht="15" customHeight="1">
      <c r="A1" s="43" t="inlineStr">
        <is>
          <t>주 간 업 무 계 획 표</t>
        </is>
      </c>
    </row>
    <row r="2" ht="33.75" customHeight="1"/>
    <row r="3" ht="14.25" customHeight="1"/>
    <row r="4" ht="26.25" customHeight="1">
      <c r="A4" s="44" t="inlineStr">
        <is>
          <t>회사명</t>
        </is>
      </c>
      <c r="B4" s="45" t="n"/>
      <c r="C4" s="46" t="inlineStr">
        <is>
          <t>한국테크주식회사 (진교지점)</t>
        </is>
      </c>
      <c r="D4" s="38" t="n"/>
      <c r="E4" s="45" t="n"/>
    </row>
    <row r="5" ht="26.25" customHeight="1">
      <c r="A5" s="44" t="inlineStr">
        <is>
          <t>보고기간</t>
        </is>
      </c>
      <c r="B5" s="45" t="n"/>
      <c r="C5" s="46" t="inlineStr">
        <is>
          <t>2026년   월   일 ~ 2026년   월   일</t>
        </is>
      </c>
      <c r="D5" s="38" t="n"/>
      <c r="E5" s="45" t="n"/>
    </row>
    <row r="6" ht="26.25" customHeight="1">
      <c r="A6" s="44" t="inlineStr">
        <is>
          <t>작성자 / 작성일</t>
        </is>
      </c>
      <c r="B6" s="45" t="n"/>
      <c r="C6" s="46" t="inlineStr">
        <is>
          <t>ㅇㅇ부 ㅇㅇㅇ  /   2026년   월   일</t>
        </is>
      </c>
      <c r="D6" s="38" t="n"/>
      <c r="E6" s="45" t="n"/>
    </row>
    <row r="7" ht="32.25" customHeight="1">
      <c r="B7" s="47" t="n"/>
    </row>
    <row r="8" ht="36.75" customHeight="1">
      <c r="A8" s="48" t="inlineStr">
        <is>
          <t>부서</t>
        </is>
      </c>
      <c r="B8" s="48" t="inlineStr">
        <is>
          <t>구분</t>
        </is>
      </c>
      <c r="C8" s="48" t="inlineStr">
        <is>
          <t>금주 실적 (계획 대비)</t>
        </is>
      </c>
      <c r="D8" s="48" t="inlineStr">
        <is>
          <t>차주 추진 계획</t>
        </is>
      </c>
      <c r="E8" s="48" t="inlineStr">
        <is>
          <t>비고</t>
        </is>
      </c>
    </row>
    <row r="9" ht="44.25" customHeight="1">
      <c r="A9" s="49" t="inlineStr">
        <is>
          <t>생
산
부</t>
        </is>
      </c>
      <c r="B9" s="50" t="inlineStr">
        <is>
          <t>원자재 입고</t>
        </is>
      </c>
      <c r="C9" s="51" t="inlineStr">
        <is>
          <t>후판 입고    ton,                                 (재고        ton)</t>
        </is>
      </c>
      <c r="D9" s="51" t="n"/>
      <c r="E9" s="52" t="n"/>
    </row>
    <row r="10" ht="44.25" customHeight="1">
      <c r="A10" s="53" t="n"/>
      <c r="B10" s="50" t="inlineStr">
        <is>
          <t>절단실적</t>
        </is>
      </c>
      <c r="C10" s="51" t="inlineStr">
        <is>
          <t>금주절단물량: 약    ton                                      (계획   ton, 달성률   %)</t>
        </is>
      </c>
      <c r="D10" s="51" t="inlineStr">
        <is>
          <t>절단 목표물량:                 약     ton</t>
        </is>
      </c>
      <c r="E10" s="52" t="n"/>
    </row>
    <row r="11" ht="44.25" customHeight="1">
      <c r="A11" s="53" t="n"/>
      <c r="B11" s="50" t="inlineStr">
        <is>
          <t>설비가동                (프라즈마 4대)</t>
        </is>
      </c>
      <c r="C11" s="51" t="inlineStr">
        <is>
          <t>평균 가동률   73.2%                                                      (1·2·3·4호기별 별첨)</t>
        </is>
      </c>
      <c r="D11" s="51" t="inlineStr">
        <is>
          <t>가동률    % 이상 유지</t>
        </is>
      </c>
      <c r="E11" s="52" t="n"/>
    </row>
    <row r="12" ht="44.25" customHeight="1">
      <c r="A12" s="53" t="n"/>
      <c r="B12" s="50" t="inlineStr">
        <is>
          <t>품질 / 불량</t>
        </is>
      </c>
      <c r="C12" s="51" t="inlineStr">
        <is>
          <t>불량률     %,                                    주요 불량유형 (         )</t>
        </is>
      </c>
      <c r="D12" s="51" t="inlineStr">
        <is>
          <t>불량 저감 대책</t>
        </is>
      </c>
      <c r="E12" s="52" t="n"/>
    </row>
    <row r="13" ht="44.25" customHeight="1">
      <c r="A13" s="53" t="n"/>
      <c r="B13" s="50" t="inlineStr">
        <is>
          <t>설비점검.                     소모품</t>
        </is>
      </c>
      <c r="C13" s="51" t="inlineStr">
        <is>
          <t>정기점검 실시 (        ), 소모품 교체 (토치팁 등)</t>
        </is>
      </c>
      <c r="D13" s="51" t="inlineStr">
        <is>
          <t>예방정비 일정 (         )</t>
        </is>
      </c>
      <c r="E13" s="52" t="n"/>
    </row>
    <row r="14" ht="44.25" customHeight="1">
      <c r="A14" s="54" t="n"/>
      <c r="B14" s="50" t="inlineStr">
        <is>
          <t>출하내역</t>
        </is>
      </c>
      <c r="C14" s="55" t="inlineStr">
        <is>
          <t>자차:   회, 용차:   회                                    소형 5톤트럭:      회</t>
        </is>
      </c>
      <c r="D14" s="51" t="inlineStr">
        <is>
          <t>출하 계획</t>
        </is>
      </c>
      <c r="E14" s="52" t="n"/>
    </row>
    <row r="15" ht="51.75" customHeight="1">
      <c r="A15" s="49" t="inlineStr">
        <is>
          <t>관    리       부</t>
        </is>
      </c>
      <c r="B15" s="50" t="inlineStr">
        <is>
          <t>인사,노무</t>
        </is>
      </c>
      <c r="C15" s="51" t="n"/>
      <c r="D15" s="51" t="n"/>
      <c r="E15" s="52" t="inlineStr">
        <is>
          <t>   </t>
        </is>
      </c>
    </row>
    <row r="16" ht="51.75" customHeight="1">
      <c r="A16" s="53" t="n"/>
      <c r="B16" s="50" t="inlineStr">
        <is>
          <t>총무.대관</t>
        </is>
      </c>
      <c r="C16" s="56" t="inlineStr">
        <is>
          <t>인허가·보조금 진행상황                 (         )</t>
        </is>
      </c>
      <c r="D16" s="56" t="inlineStr">
        <is>
          <t>신청·제출 예정                 (ICT위탁, 보조금 등)</t>
        </is>
      </c>
      <c r="E16" s="52" t="n"/>
    </row>
    <row r="17" ht="51.75" customHeight="1">
      <c r="A17" s="53" t="n"/>
      <c r="B17" s="50" t="inlineStr">
        <is>
          <t>설비보수유지</t>
        </is>
      </c>
      <c r="C17" s="56" t="inlineStr">
        <is>
          <t>재해 0건, 안전점검 (   회), 분진·소음 관리</t>
        </is>
      </c>
      <c r="D17" s="56" t="inlineStr">
        <is>
          <t>위험성평가 / 외국인근로자 안전교육 (         )</t>
        </is>
      </c>
      <c r="E17" s="52" t="n"/>
    </row>
    <row r="18" ht="51.75" customHeight="1">
      <c r="A18" s="54" t="n"/>
      <c r="B18" s="50" t="inlineStr">
        <is>
          <t>안전보건,법규</t>
        </is>
      </c>
      <c r="C18" s="56" t="inlineStr">
        <is>
          <t>법정의무 이행(각종 법정선임관리교육 등) 점검</t>
        </is>
      </c>
      <c r="D18" s="56" t="inlineStr">
        <is>
          <t>법규 대응·교육 일정</t>
        </is>
      </c>
      <c r="E18" s="52" t="n"/>
    </row>
    <row r="19" ht="24" customHeight="1">
      <c r="B19" s="57" t="n"/>
      <c r="C19" s="58" t="n"/>
      <c r="D19" s="58" t="n"/>
      <c r="E19" s="59" t="n"/>
    </row>
    <row r="20" ht="18.75" customHeight="1">
      <c r="A20" s="60" t="inlineStr">
        <is>
          <t>■ 특이사항 및 본사 협조·건의 사항</t>
        </is>
      </c>
      <c r="B20" s="61" t="n"/>
      <c r="C20" s="61" t="n"/>
      <c r="D20" s="61" t="n"/>
      <c r="E20" s="62" t="n"/>
    </row>
    <row r="21" ht="18.75" customHeight="1">
      <c r="A21" s="63" t="n"/>
      <c r="E21" s="64" t="n"/>
    </row>
    <row r="22" ht="18.75" customHeight="1">
      <c r="A22" s="63" t="n"/>
      <c r="E22" s="64" t="n"/>
    </row>
    <row r="23" ht="18.75" customHeight="1">
      <c r="A23" s="63" t="n"/>
      <c r="E23" s="64" t="n"/>
    </row>
    <row r="24" ht="18.75" customHeight="1">
      <c r="A24" s="65" t="n"/>
      <c r="B24" s="66" t="n"/>
      <c r="C24" s="67" t="n"/>
      <c r="D24" s="67" t="n"/>
      <c r="E24" s="68" t="n"/>
    </row>
  </sheetData>
  <mergeCells count="10">
    <mergeCell ref="A4:B4"/>
    <mergeCell ref="A9:A14"/>
    <mergeCell ref="A20:E20"/>
    <mergeCell ref="C5:E5"/>
    <mergeCell ref="A5:B5"/>
    <mergeCell ref="C4:E4"/>
    <mergeCell ref="A15:A18"/>
    <mergeCell ref="A1:E2"/>
    <mergeCell ref="A6:B6"/>
    <mergeCell ref="C6:E6"/>
  </mergeCells>
  <pageMargins left="0.7480314960629921" right="0.7480314960629921" top="0.984251968503937" bottom="0.984251968503937" header="0.5118110236220472" footer="0.511811023622047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5.375" customWidth="1" min="1" max="1"/>
    <col width="11.875" customWidth="1" min="2" max="2"/>
    <col width="11.75" customWidth="1" min="3" max="3"/>
    <col width="8.875" customWidth="1" min="4" max="4"/>
    <col width="3.5" customWidth="1" min="6" max="6"/>
    <col width="8.25" customWidth="1" min="7" max="7"/>
    <col width="5.375" customWidth="1" min="8" max="8"/>
    <col width="12.625" customWidth="1" min="9" max="9"/>
    <col width="8.875" customWidth="1" min="10" max="10"/>
    <col width="8.25" customWidth="1" min="12" max="12"/>
    <col width="3.5" customWidth="1" min="13" max="13"/>
    <col width="8.25" customWidth="1" min="14" max="14"/>
  </cols>
  <sheetData>
    <row r="1" ht="17.25" customHeight="1">
      <c r="A1" s="69" t="inlineStr">
        <is>
          <t>작 성 일</t>
        </is>
      </c>
      <c r="B1" s="70" t="n"/>
      <c r="C1" s="71" t="inlineStr">
        <is>
          <t>한국테크 주간업무 보고서</t>
        </is>
      </c>
      <c r="D1" s="72" t="n"/>
      <c r="E1" s="72" t="n"/>
      <c r="F1" s="72" t="n"/>
      <c r="G1" s="72" t="n"/>
      <c r="H1" s="72" t="n"/>
      <c r="I1" s="72" t="n"/>
      <c r="J1" s="72" t="n"/>
      <c r="K1" s="73" t="n"/>
      <c r="L1" s="74" t="inlineStr">
        <is>
          <t>작 성 자</t>
        </is>
      </c>
      <c r="M1" s="75" t="n"/>
      <c r="N1" s="70" t="n"/>
    </row>
    <row r="2" ht="30" customHeight="1">
      <c r="A2" s="76" t="n"/>
      <c r="B2" s="77" t="n"/>
      <c r="C2" s="78" t="n"/>
      <c r="K2" s="79" t="n"/>
      <c r="L2" s="80" t="n"/>
      <c r="M2" s="81" t="n"/>
      <c r="N2" s="77" t="n"/>
    </row>
    <row r="3" ht="17.25" customHeight="1">
      <c r="A3" s="82" t="n"/>
      <c r="B3" s="83" t="n"/>
      <c r="C3" s="83" t="n"/>
      <c r="D3" s="83" t="n"/>
      <c r="E3" s="83" t="n"/>
      <c r="F3" s="83" t="n"/>
      <c r="G3" s="84" t="n"/>
      <c r="H3" s="82" t="n"/>
      <c r="I3" s="83" t="n"/>
      <c r="J3" s="83" t="n"/>
      <c r="K3" s="83" t="n"/>
      <c r="L3" s="83" t="n"/>
      <c r="M3" s="83" t="n"/>
      <c r="N3" s="84" t="n"/>
    </row>
    <row r="4" ht="20.1" customHeight="1">
      <c r="A4" s="85" t="n"/>
      <c r="B4" s="81" t="n"/>
      <c r="C4" s="81" t="n"/>
      <c r="D4" s="81" t="n"/>
      <c r="E4" s="81" t="n"/>
      <c r="F4" s="81" t="n"/>
      <c r="G4" s="86" t="n"/>
      <c r="H4" s="87" t="n"/>
      <c r="I4" s="81" t="n"/>
      <c r="J4" s="81" t="n"/>
      <c r="K4" s="81" t="n"/>
      <c r="L4" s="81" t="n"/>
      <c r="M4" s="81" t="n"/>
      <c r="N4" s="86" t="n"/>
    </row>
    <row r="5" ht="20.1" customHeight="1">
      <c r="A5" s="88" t="n"/>
      <c r="G5" s="89" t="n"/>
      <c r="H5" s="88" t="n"/>
      <c r="N5" s="89" t="n"/>
    </row>
    <row r="6" ht="20.1" customHeight="1">
      <c r="A6" s="88" t="n"/>
      <c r="G6" s="89" t="n"/>
      <c r="H6" s="88" t="n"/>
      <c r="N6" s="89" t="n"/>
    </row>
    <row r="7">
      <c r="A7" s="88" t="n"/>
      <c r="G7" s="89" t="n"/>
      <c r="H7" s="88" t="n"/>
      <c r="N7" s="89" t="n"/>
    </row>
    <row r="8" ht="29.25" customHeight="1">
      <c r="A8" s="88" t="n"/>
      <c r="G8" s="89" t="n"/>
      <c r="H8" s="88" t="n"/>
      <c r="N8" s="89" t="n"/>
    </row>
    <row r="9" ht="20.1" customHeight="1">
      <c r="A9" s="88" t="n"/>
      <c r="G9" s="89" t="n"/>
      <c r="H9" s="88" t="n"/>
      <c r="N9" s="89" t="n"/>
      <c r="O9" s="90" t="inlineStr">
        <is>
          <t> </t>
        </is>
      </c>
    </row>
    <row r="10" ht="20.1" customHeight="1">
      <c r="A10" s="88" t="n"/>
      <c r="G10" s="89" t="n"/>
      <c r="H10" s="88" t="n"/>
      <c r="N10" s="89" t="n"/>
    </row>
    <row r="11" ht="20.1" customHeight="1">
      <c r="A11" s="88" t="n"/>
      <c r="G11" s="89" t="n"/>
      <c r="H11" s="88" t="n"/>
      <c r="N11" s="89" t="n"/>
    </row>
    <row r="12" ht="35.25" customHeight="1">
      <c r="A12" s="88" t="n"/>
      <c r="G12" s="89" t="n"/>
      <c r="H12" s="88" t="n"/>
      <c r="N12" s="89" t="n"/>
    </row>
    <row r="13" ht="86.25" customHeight="1">
      <c r="A13" s="91" t="n"/>
      <c r="B13" s="92" t="n"/>
      <c r="C13" s="92" t="n"/>
      <c r="D13" s="92" t="n"/>
      <c r="E13" s="92" t="n"/>
      <c r="F13" s="92" t="n"/>
      <c r="G13" s="93" t="n"/>
      <c r="H13" s="91" t="n"/>
      <c r="I13" s="92" t="n"/>
      <c r="J13" s="92" t="n"/>
      <c r="K13" s="92" t="n"/>
      <c r="L13" s="92" t="n"/>
      <c r="M13" s="92" t="n"/>
      <c r="N13" s="93" t="n"/>
    </row>
    <row r="14" ht="17.25" customHeight="1">
      <c r="A14" s="94" t="inlineStr">
        <is>
          <t>문제점 및 비고</t>
        </is>
      </c>
      <c r="B14" s="81" t="n"/>
      <c r="C14" s="81" t="n"/>
      <c r="D14" s="81" t="n"/>
      <c r="E14" s="81" t="n"/>
      <c r="F14" s="81" t="n"/>
      <c r="G14" s="95" t="n"/>
      <c r="H14" s="94" t="inlineStr">
        <is>
          <t>요청사항 및 비고</t>
        </is>
      </c>
      <c r="I14" s="81" t="n"/>
      <c r="J14" s="81" t="n"/>
      <c r="K14" s="81" t="n"/>
      <c r="L14" s="81" t="n"/>
      <c r="M14" s="81" t="n"/>
      <c r="N14" s="95" t="n"/>
    </row>
    <row r="15" ht="99" customHeight="1">
      <c r="A15" s="96" t="n"/>
      <c r="B15" s="97" t="n"/>
      <c r="C15" s="97" t="n"/>
      <c r="D15" s="97" t="n"/>
      <c r="E15" s="97" t="n"/>
      <c r="F15" s="97" t="n"/>
      <c r="G15" s="98" t="n"/>
      <c r="H15" s="96" t="n"/>
      <c r="I15" s="97" t="n"/>
      <c r="J15" s="97" t="n"/>
      <c r="K15" s="97" t="n"/>
      <c r="L15" s="97" t="n"/>
      <c r="M15" s="97" t="n"/>
      <c r="N15" s="98" t="n"/>
    </row>
  </sheetData>
  <mergeCells count="13">
    <mergeCell ref="L1:N1"/>
    <mergeCell ref="A14:G14"/>
    <mergeCell ref="A2:B2"/>
    <mergeCell ref="H14:N14"/>
    <mergeCell ref="C1:K2"/>
    <mergeCell ref="A3:G3"/>
    <mergeCell ref="H4:N13"/>
    <mergeCell ref="H3:N3"/>
    <mergeCell ref="A4:G13"/>
    <mergeCell ref="A15:G15"/>
    <mergeCell ref="A1:B1"/>
    <mergeCell ref="L2:N2"/>
    <mergeCell ref="H15:N15"/>
  </mergeCells>
  <printOptions horizontalCentered="1"/>
  <pageMargins left="0.4724409448818898" right="0.3543307086614174" top="0.5511811023622047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2026-10-02T04:14:59Z</dcterms:created>
  <dcterms:modified xsi:type="dcterms:W3CDTF">2026-10-02T04:14:59Z</dcterms:modified>
</cp:coreProperties>
</file>